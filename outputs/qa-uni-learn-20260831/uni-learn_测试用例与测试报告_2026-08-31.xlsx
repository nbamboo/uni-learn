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542871db9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概览" sheetId="1" r:id="R3bbebd172a574b2c"/>
    <x:sheet xmlns:r="http://schemas.openxmlformats.org/officeDocument/2006/relationships" name="用例明细" sheetId="2" r:id="R9fd56a6e348f4ee7"/>
    <x:sheet xmlns:r="http://schemas.openxmlformats.org/officeDocument/2006/relationships" name="执行记录" sheetId="3" r:id="Rdd33d9d4658a42ee"/>
    <x:sheet xmlns:r="http://schemas.openxmlformats.org/officeDocument/2006/relationships" name="问题清单" sheetId="4" r:id="R6817ede2972e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 hh:mm"/>
    <x:numFmt numFmtId="202" formatCode="0.0"/>
  </x:numFmts>
  <x:fonts count="11">
    <x:font>
      <x:sz val="11"/>
      <x:name val="Carlito"/>
    </x:font>
    <x:font>
      <x:b/>
      <x:sz val="20"/>
      <x:color rgb="FFFFFFFF"/>
      <x:name val="Microsoft YaHei"/>
    </x:font>
    <x:font>
      <x:sz val="10"/>
      <x:color rgb="FF4B5563"/>
      <x:name val="Microsoft YaHei"/>
    </x:font>
    <x:font>
      <x:b/>
      <x:sz val="11"/>
      <x:color rgb="FFFFFFFF"/>
      <x:name val="Carlito"/>
    </x:font>
    <x:font>
      <x:b/>
      <x:sz val="11"/>
      <x:color rgb="FF4B5563"/>
      <x:name val="Carlito"/>
    </x:font>
    <x:font>
      <x:b/>
      <x:sz val="20"/>
      <x:color rgb="FF0074D4"/>
      <x:name val="Carlito"/>
    </x:font>
    <x:font>
      <x:sz val="11"/>
      <x:color rgb="FF166534"/>
      <x:name val="Carlito"/>
    </x:font>
    <x:font>
      <x:b/>
      <x:sz val="10"/>
      <x:color rgb="FF4B5563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5FF"/>
      </x:patternFill>
    </x:fill>
    <x:fill>
      <x:patternFill patternType="solid">
        <x:fgColor rgb="FF008CFF"/>
      </x:patternFill>
    </x:fill>
    <x:fill>
      <x:patternFill patternType="solid">
        <x:fgColor rgb="FFF3F4F6"/>
      </x:patternFill>
    </x:fill>
    <x:fill>
      <x:patternFill patternType="solid">
        <x:fgColor rgb="FFF2FAFF"/>
      </x:patternFill>
    </x:fill>
    <x:fill>
      <x:patternFill patternType="solid">
        <x:fgColor rgb="FFDCFCE7"/>
      </x:patternFill>
    </x:fill>
  </x:fills>
  <x:borders count="22">
    <x:border/>
    <x:border>
      <x:left style="thin">
        <x:color rgb="FF86EFAC"/>
      </x:left>
      <x:top style="thin">
        <x:color rgb="FF86EFAC"/>
      </x:top>
    </x:border>
    <x:border>
      <x:top style="thin">
        <x:color rgb="FF86EFAC"/>
      </x:top>
    </x:border>
    <x:border>
      <x:right style="thin">
        <x:color rgb="FF86EFAC"/>
      </x:right>
      <x:top style="thin">
        <x:color rgb="FF86EFAC"/>
      </x:top>
    </x:border>
    <x:border>
      <x:left style="thin">
        <x:color rgb="FF86EFAC"/>
      </x:left>
    </x:border>
    <x:border>
      <x:right style="thin">
        <x:color rgb="FF86EFAC"/>
      </x:right>
    </x:border>
    <x:border>
      <x:left style="thin">
        <x:color rgb="FF86EFAC"/>
      </x:left>
      <x:bottom style="thin">
        <x:color rgb="FF86EFAC"/>
      </x:bottom>
    </x:border>
    <x:border>
      <x:bottom style="thin">
        <x:color rgb="FF86EFAC"/>
      </x:bottom>
    </x:border>
    <x:border>
      <x:right style="thin">
        <x:color rgb="FF86EFAC"/>
      </x:right>
      <x:bottom style="thin">
        <x:color rgb="FF86EFAC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7" fillId="5" borderId="9" xfId="0" applyNumberFormat="1" applyFont="1" applyFill="1" applyBorder="1" applyAlignment="1">
      <x:alignment vertical="top"/>
    </x:xf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7" fillId="5" borderId="12" xfId="0" applyNumberFormat="1" applyFont="1" applyFill="1" applyBorder="1" applyAlignment="1">
      <x:alignment vertical="top"/>
    </x:xf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7" fillId="5" borderId="15" xfId="0" applyNumberFormat="1" applyFont="1" applyFill="1" applyBorder="1" applyAlignment="1">
      <x:alignment vertical="top"/>
    </x:xf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7" fillId="5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18" xfId="0" applyNumberFormat="1" applyFont="1" applyFill="1" applyBorder="1"/>
    <x:xf numFmtId="0" fontId="9" fillId="4" borderId="18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horizontal="center" wrapText="1"/>
    </x:xf>
    <x:xf numFmtId="0" fontId="9" fillId="4" borderId="18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9" xfId="0" applyNumberFormat="1" applyFont="1" applyFill="1" applyBorder="1"/>
    <x:xf numFmtId="0" fontId="10" fillId="0" borderId="20" xfId="0" applyNumberFormat="1" applyFont="1" applyFill="1" applyBorder="1"/>
    <x:xf numFmtId="0" fontId="10" fillId="0" borderId="21" xfId="0" applyNumberFormat="1" applyFont="1" applyFill="1" applyBorder="1"/>
    <x:xf numFmtId="0" fontId="10" fillId="0" borderId="19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wrapText="1"/>
    </x:xf>
    <x:xf numFmtId="0" fontId="10" fillId="0" borderId="21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0" fontId="10" fillId="0" borderId="21" xfId="0" applyNumberFormat="1" applyFont="1" applyFill="1" applyBorder="1" applyAlignment="1">
      <x:alignment vertical="top" wrapText="1"/>
    </x:xf>
    <x:xf numFmtId="201" fontId="10" fillId="0" borderId="19" xfId="0" applyNumberFormat="1" applyFont="1" applyFill="1" applyBorder="1" applyAlignment="1">
      <x:alignment vertical="top" wrapText="1"/>
    </x:xf>
    <x:xf numFmtId="201" fontId="10" fillId="0" borderId="20" xfId="0" applyNumberFormat="1" applyFont="1" applyFill="1" applyBorder="1" applyAlignment="1">
      <x:alignment vertical="top" wrapText="1"/>
    </x:xf>
    <x:xf numFmtId="201" fontId="10" fillId="0" borderId="21" xfId="0" applyNumberFormat="1" applyFont="1" applyFill="1" applyBorder="1" applyAlignment="1">
      <x:alignment vertical="top" wrapText="1"/>
    </x:xf>
    <x:xf numFmtId="202" fontId="10" fillId="0" borderId="19" xfId="0" applyNumberFormat="1" applyFont="1" applyFill="1" applyBorder="1" applyAlignment="1">
      <x:alignment vertical="top" wrapText="1"/>
    </x:xf>
    <x:xf numFmtId="202" fontId="10" fillId="0" borderId="20" xfId="0" applyNumberFormat="1" applyFont="1" applyFill="1" applyBorder="1" applyAlignment="1">
      <x:alignment vertical="top" wrapText="1"/>
    </x:xf>
    <x:xf numFmtId="202" fontId="10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F9D55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1F9D55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5459207cc43e2" /><Relationship Type="http://schemas.openxmlformats.org/officeDocument/2006/relationships/theme" Target="/xl/theme/theme1.xml" Id="R1e2d833cf8b346ca" /><Relationship Type="http://schemas.openxmlformats.org/officeDocument/2006/relationships/sharedStrings" Target="/xl/sharedStrings.xml" Id="Rbb0412b6e20c4916" /><Relationship Type="http://schemas.openxmlformats.org/officeDocument/2006/relationships/worksheet" Target="/xl/worksheets/sheet1.xml" Id="R3bbebd172a574b2c" /><Relationship Type="http://schemas.openxmlformats.org/officeDocument/2006/relationships/worksheet" Target="/xl/worksheets/sheet2.xml" Id="R9fd56a6e348f4ee7" /><Relationship Type="http://schemas.openxmlformats.org/officeDocument/2006/relationships/worksheet" Target="/xl/worksheets/sheet3.xml" Id="Rdd33d9d4658a42ee" /><Relationship Type="http://schemas.openxmlformats.org/officeDocument/2006/relationships/worksheet" Target="/xl/worksheets/sheet4.xml" Id="R6817ede2972e4985" /></Relationships>
</file>

<file path=xl/tables/table1.xml><?xml version="1.0" encoding="utf-8"?>
<x:table xmlns:x="http://schemas.openxmlformats.org/spreadsheetml/2006/main" id="1" name="TestCasesTable" displayName="TestCasesTable" ref="A4:L76" headerRowCount="1" totalsRowCount="0" totalsRowShown="0">
  <x:autoFilter ref="A4:L76"/>
  <x:tableColumns count="12">
    <x:tableColumn id="1" name="用例ID"/>
    <x:tableColumn id="2" name="模块"/>
    <x:tableColumn id="3" name="子模块"/>
    <x:tableColumn id="4" name="优先级"/>
    <x:tableColumn id="5" name="类型"/>
    <x:tableColumn id="6" name="前置条件"/>
    <x:tableColumn id="7" name="测试步骤"/>
    <x:tableColumn id="8" name="预期结果"/>
    <x:tableColumn id="9" name="执行方式"/>
    <x:tableColumn id="10" name="执行状态"/>
    <x:tableColumn id="11" name="实际结果 / 证据"/>
    <x:tableColumn id="12" name="关联问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LogTable" displayName="ExecutionLogTable" ref="A4:H14" headerRowCount="1" totalsRowCount="0" totalsRowShown="0">
  <x:autoFilter ref="A4:H14"/>
  <x:tableColumns count="8">
    <x:tableColumn id="1" name="执行ID"/>
    <x:tableColumn id="2" name="方式"/>
    <x:tableColumn id="3" name="测试对象"/>
    <x:tableColumn id="4" name="执行时间"/>
    <x:tableColumn id="5" name="结果"/>
    <x:tableColumn id="6" name="耗时（秒）"/>
    <x:tableColumn id="7" name="命令 / 环境"/>
    <x:tableColumn id="8" name="结果证据与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ssuesTable" displayName="IssuesTable" ref="A4:L7" headerRowCount="1" totalsRowCount="0" totalsRowShown="0">
  <x:autoFilter ref="A4:L7"/>
  <x:tableColumns count="12">
    <x:tableColumn id="1" name="问题ID"/>
    <x:tableColumn id="2" name="模块"/>
    <x:tableColumn id="3" name="类型"/>
    <x:tableColumn id="4" name="优先级"/>
    <x:tableColumn id="5" name="标题"/>
    <x:tableColumn id="6" name="复现步骤"/>
    <x:tableColumn id="7" name="预期结果"/>
    <x:tableColumn id="8" name="实际结果"/>
    <x:tableColumn id="9" name="证据"/>
    <x:tableColumn id="10" name="影响评估"/>
    <x:tableColumn id="11" name="状态"/>
    <x:tableColumn id="12" name="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1ebffca57c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06d9f0ae5b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4f43e3d076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8" customHeight="1">
      <x:c r="A1" s="4" t="str">
        <x:v>uni-learn 项目测试概览</x:v>
      </x:c>
      <x:c r="B1" s="4"/>
      <x:c r="C1" s="4"/>
      <x:c r="D1" s="4"/>
      <x:c r="E1" s="4"/>
      <x:c r="F1" s="4"/>
      <x:c r="G1" s="4"/>
      <x:c r="H1" s="4"/>
    </x:row>
    <x:row r="2" ht="28" customHeight="1">
      <x:c r="A2" s="7" t="str">
        <x:v>测试日期：2026-08-31｜基线提交：fad03d9｜原则：发现问题仅记录，不修改代码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关键指标</x:v>
      </x:c>
      <x:c r="B4" s="10"/>
      <x:c r="C4" s="10"/>
      <x:c r="D4" s="10"/>
      <x:c r="E4" s="10"/>
      <x:c r="F4" s="10"/>
      <x:c r="G4" s="10"/>
      <x:c r="H4" s="10"/>
    </x:row>
    <x:row r="5">
      <x:c r="A5" s="13" t="str">
        <x:v>总用例</x:v>
      </x:c>
      <x:c r="B5" s="13" t="str"/>
      <x:c r="C5" s="13" t="str">
        <x:v>已执行</x:v>
      </x:c>
      <x:c r="D5" s="13" t="str"/>
      <x:c r="E5" s="13" t="str">
        <x:v>已通过</x:v>
      </x:c>
      <x:c r="F5" s="13" t="str"/>
      <x:c r="G5" s="13" t="str">
        <x:v>失败</x:v>
      </x:c>
      <x:c r="H5" s="13" t="str"/>
    </x:row>
    <x:row r="6" ht="36" customHeight="1">
      <x:c r="A6" s="17" t="n">
        <x:f>COUNTA('用例明细'!$A$5:$A$76)</x:f>
        <x:v>72</x:v>
      </x:c>
      <x:c r="B6"/>
      <x:c r="C6" s="17" t="n">
        <x:f>COUNTIF('用例明细'!$J$5:$J$76,"已通过")+COUNTIF('用例明细'!$J$5:$J$76,"失败")+COUNTIF('用例明细'!$J$5:$J$76,"阻塞")</x:f>
        <x:v>49</x:v>
      </x:c>
      <x:c r="D6"/>
      <x:c r="E6" s="17" t="n">
        <x:f>COUNTIF('用例明细'!$J$5:$J$76,"已通过")</x:f>
        <x:v>49</x:v>
      </x:c>
      <x:c r="F6"/>
      <x:c r="G6" s="17" t="n">
        <x:f>COUNTIF('用例明细'!$J$5:$J$76,"失败")</x:f>
        <x:v>0</x:v>
      </x:c>
      <x:c r="H6"/>
    </x:row>
    <x:row r="8">
      <x:c r="A8" s="13" t="str">
        <x:v>未执行</x:v>
      </x:c>
      <x:c r="B8" s="13" t="str"/>
      <x:c r="C8" s="13" t="str">
        <x:v>通过率</x:v>
      </x:c>
      <x:c r="D8" s="13" t="str"/>
      <x:c r="E8" s="13" t="str">
        <x:v>问题数</x:v>
      </x:c>
      <x:c r="F8" s="13" t="str"/>
      <x:c r="G8" s="13" t="str">
        <x:v>P0/P1 问题</x:v>
      </x:c>
      <x:c r="H8" s="13" t="str"/>
    </x:row>
    <x:row r="9" ht="36" customHeight="1">
      <x:c r="A9" s="17" t="n">
        <x:f>COUNTIF('用例明细'!$J$5:$J$76,"未执行")</x:f>
        <x:v>23</x:v>
      </x:c>
      <x:c r="B9"/>
      <x:c r="C9" s="18" t="n">
        <x:f>IF(C6=0,0,E6/C6)</x:f>
        <x:v>1</x:v>
      </x:c>
      <x:c r="D9"/>
      <x:c r="E9" s="17" t="n">
        <x:f>COUNTA('问题清单'!$A$5:$A$7)</x:f>
        <x:v>3</x:v>
      </x:c>
      <x:c r="F9"/>
      <x:c r="G9" s="17" t="n">
        <x:f>COUNTIF('问题清单'!$D$5:$D$7,"P0")+COUNTIF('问题清单'!$D$5:$D$7,"P1")</x:f>
        <x:v>0</x:v>
      </x:c>
      <x:c r="H9"/>
    </x:row>
    <x:row r="11">
      <x:c r="A11" s="9" t="str">
        <x:v>测试结论</x:v>
      </x:c>
      <x:c r="B11" s="9"/>
      <x:c r="C11" s="9"/>
      <x:c r="D11" s="9"/>
      <x:c r="E11" s="9"/>
      <x:c r="F11" s="9"/>
      <x:c r="G11" s="9"/>
      <x:c r="H11" s="9"/>
    </x:row>
    <x:row r="12">
      <x:c r="A12" s="38" t="str">
        <x:v>自动化：5 个测试脚本、262 个断言全部通过。人工冒烟：工具页、刷题首页、章节目录正常加载，运行时未发现 Error。
发现 3 类 P3 告警，均已登记在“问题清单”；未修改任何项目代码。真机分享、广告、离线、性能与全量视觉回归本轮未执行。</x:v>
      </x:c>
      <x:c r="B12" s="39"/>
      <x:c r="C12" s="39"/>
      <x:c r="D12" s="39"/>
      <x:c r="E12" s="39"/>
      <x:c r="F12" s="39"/>
      <x:c r="G12" s="39"/>
      <x:c r="H12" s="40"/>
    </x:row>
    <x:row r="13">
      <x:c r="A13" s="41"/>
      <x:c r="B13" s="42"/>
      <x:c r="C13" s="42"/>
      <x:c r="D13" s="42"/>
      <x:c r="E13" s="42"/>
      <x:c r="F13" s="42"/>
      <x:c r="G13" s="42"/>
      <x:c r="H13" s="43"/>
    </x:row>
    <x:row r="14">
      <x:c r="A14" s="44"/>
      <x:c r="B14" s="45"/>
      <x:c r="C14" s="45"/>
      <x:c r="D14" s="45"/>
      <x:c r="E14" s="45"/>
      <x:c r="F14" s="45"/>
      <x:c r="G14" s="45"/>
      <x:c r="H14" s="46"/>
    </x:row>
    <x:row r="16">
      <x:c r="A16" s="9" t="str">
        <x:v>测试范围与环境</x:v>
      </x:c>
      <x:c r="B16" s="9"/>
      <x:c r="C16" s="9"/>
      <x:c r="D16" s="9"/>
      <x:c r="E16" s="9"/>
      <x:c r="F16" s="9"/>
      <x:c r="G16" s="9"/>
      <x:c r="H16" s="9"/>
    </x:row>
    <x:row r="17" ht="30" customHeight="1">
      <x:c r="A17" s="59" t="str">
        <x:v>项目类型</x:v>
      </x:c>
      <x:c r="B17" s="68" t="str">
        <x:v>uni-app 微信小程序</x:v>
      </x:c>
      <x:c r="C17" s="68"/>
      <x:c r="D17" s="68"/>
      <x:c r="E17" s="68"/>
      <x:c r="F17" s="68"/>
      <x:c r="G17" s="68"/>
      <x:c r="H17" s="69"/>
    </x:row>
    <x:row r="18" ht="30" customHeight="1">
      <x:c r="A18" s="62" t="str">
        <x:v>主要模块</x:v>
      </x:c>
      <x:c r="B18" s="70" t="str">
        <x:v>理财计算器、参数/税率表、题库、三种答题模式、记录、搜索、云同步、成绩分享</x:v>
      </x:c>
      <x:c r="C18" s="70"/>
      <x:c r="D18" s="70"/>
      <x:c r="E18" s="70"/>
      <x:c r="F18" s="70"/>
      <x:c r="G18" s="70"/>
      <x:c r="H18" s="71"/>
    </x:row>
    <x:row r="19" ht="30" customHeight="1">
      <x:c r="A19" s="62" t="str">
        <x:v>自动化环境</x:v>
      </x:c>
      <x:c r="B19" s="70" t="str">
        <x:v>Node.js v25.8.1；仓库内置测试脚本</x:v>
      </x:c>
      <x:c r="C19" s="70"/>
      <x:c r="D19" s="70"/>
      <x:c r="E19" s="70"/>
      <x:c r="F19" s="70"/>
      <x:c r="G19" s="70"/>
      <x:c r="H19" s="71"/>
    </x:row>
    <x:row r="20" ht="30" customHeight="1">
      <x:c r="A20" s="62" t="str">
        <x:v>人工环境</x:v>
      </x:c>
      <x:c r="B20" s="70" t="str">
        <x:v>微信开发者工具 Stable 2.01.2510290；iPhone 15 Pro Max 模拟器</x:v>
      </x:c>
      <x:c r="C20" s="70"/>
      <x:c r="D20" s="70"/>
      <x:c r="E20" s="70"/>
      <x:c r="F20" s="70"/>
      <x:c r="G20" s="70"/>
      <x:c r="H20" s="71"/>
    </x:row>
    <x:row r="21" ht="30" customHeight="1">
      <x:c r="A21" s="62" t="str">
        <x:v>题库基线</x:v>
      </x:c>
      <x:c r="B21" s="70" t="str">
        <x:v>初级个人理财：822 题、8 章、122 个知识点组</x:v>
      </x:c>
      <x:c r="C21" s="70"/>
      <x:c r="D21" s="70"/>
      <x:c r="E21" s="70"/>
      <x:c r="F21" s="70"/>
      <x:c r="G21" s="70"/>
      <x:c r="H21" s="71"/>
    </x:row>
    <x:row r="22" ht="30" customHeight="1">
      <x:c r="A22" s="62" t="str">
        <x:v>测试限制</x:v>
      </x:c>
      <x:c r="B22" s="70" t="str">
        <x:v>未执行真机、实际好友分享、广告真实填充、断网、长时性能和多尺寸兼容</x:v>
      </x:c>
      <x:c r="C22" s="70"/>
      <x:c r="D22" s="70"/>
      <x:c r="E22" s="70"/>
      <x:c r="F22" s="70"/>
      <x:c r="G22" s="70"/>
      <x:c r="H22" s="71"/>
    </x:row>
    <x:row r="23" ht="30" customHeight="1">
      <x:c r="A23" s="65" t="str">
        <x:v>问题处理</x:v>
      </x:c>
      <x:c r="B23" s="72" t="str">
        <x:v>仅记录问题与建议；未修改业务代码</x:v>
      </x:c>
      <x:c r="C23" s="72"/>
      <x:c r="D23" s="72"/>
      <x:c r="E23" s="72"/>
      <x:c r="F23" s="72"/>
      <x:c r="G23" s="72"/>
      <x:c r="H23" s="73"/>
    </x:row>
  </x:sheetData>
  <x:mergeCells>
    <x:mergeCell ref="A1:H1"/>
    <x:mergeCell ref="A2:H2"/>
    <x:mergeCell ref="A4:H4"/>
    <x:mergeCell ref="A11:H11"/>
    <x:mergeCell ref="A12:H14"/>
    <x:mergeCell ref="A16:H16"/>
    <x:mergeCell ref="B17:H17"/>
    <x:mergeCell ref="B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9" hidden="0" customWidth="1"/>
    <x:col min="5" max="5" width="11" hidden="0" customWidth="1"/>
    <x:col min="6" max="6" width="27" hidden="0" customWidth="1"/>
    <x:col min="7" max="7" width="44" hidden="0" customWidth="1"/>
    <x:col min="8" max="8" width="42" hidden="0" customWidth="1"/>
    <x:col min="9" max="9" width="20" hidden="0" customWidth="1"/>
    <x:col min="10" max="10" width="11" hidden="0" customWidth="1"/>
    <x:col min="11" max="11" width="46" hidden="0" customWidth="1"/>
    <x:col min="12" max="12" width="20" hidden="0" customWidth="1"/>
  </x:cols>
  <x:sheetData>
    <x:row r="1" ht="38" customHeight="1">
      <x:c r="A1" s="4" t="str">
        <x:v>测试用例明细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7" t="str">
        <x:v>共 72 条；执行状态由本轮证据填写，未执行项保留用于后续回归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78" t="str">
        <x:v>用例ID</x:v>
      </x:c>
      <x:c r="B4" s="78" t="str">
        <x:v>模块</x:v>
      </x:c>
      <x:c r="C4" s="78" t="str">
        <x:v>子模块</x:v>
      </x:c>
      <x:c r="D4" s="78" t="str">
        <x:v>优先级</x:v>
      </x:c>
      <x:c r="E4" s="78" t="str">
        <x:v>类型</x:v>
      </x:c>
      <x:c r="F4" s="78" t="str">
        <x:v>前置条件</x:v>
      </x:c>
      <x:c r="G4" s="78" t="str">
        <x:v>测试步骤</x:v>
      </x:c>
      <x:c r="H4" s="78" t="str">
        <x:v>预期结果</x:v>
      </x:c>
      <x:c r="I4" s="78" t="str">
        <x:v>执行方式</x:v>
      </x:c>
      <x:c r="J4" s="78" t="str">
        <x:v>执行状态</x:v>
      </x:c>
      <x:c r="K4" s="78" t="str">
        <x:v>实际结果 / 证据</x:v>
      </x:c>
      <x:c r="L4" s="78" t="str">
        <x:v>关联问题</x:v>
      </x:c>
    </x:row>
    <x:row r="5" ht="56" customHeight="1">
      <x:c r="A5" s="86" t="str">
        <x:v>APP-001</x:v>
      </x:c>
      <x:c r="B5" s="86" t="str">
        <x:v>应用基础</x:v>
      </x:c>
      <x:c r="C5" s="86" t="str">
        <x:v>启动</x:v>
      </x:c>
      <x:c r="D5" s="86" t="str">
        <x:v>P0</x:v>
      </x:c>
      <x:c r="E5" s="86" t="str">
        <x:v>冒烟</x:v>
      </x:c>
      <x:c r="F5" s="86" t="str">
        <x:v>微信开发者工具已打开项目</x:v>
      </x:c>
      <x:c r="G5" s="86" t="str">
        <x:v>1. 普通编译并启动小程序
2. 观察首屏与底部导航</x:v>
      </x:c>
      <x:c r="H5" s="86" t="str">
        <x:v>应用无白屏、无崩溃，首屏和底部导航可见</x:v>
      </x:c>
      <x:c r="I5" s="86" t="str">
        <x:v>人工冒烟</x:v>
      </x:c>
      <x:c r="J5" s="86" t="str">
        <x:v>已通过</x:v>
      </x:c>
      <x:c r="K5" s="86" t="str">
        <x:v>微信开发者工具加载 pages/index/index；控制台无 Error。</x:v>
      </x:c>
      <x:c r="L5" s="86" t="str"/>
    </x:row>
    <x:row r="6" ht="56" customHeight="1">
      <x:c r="A6" s="87" t="str">
        <x:v>APP-002</x:v>
      </x:c>
      <x:c r="B6" s="87" t="str">
        <x:v>应用基础</x:v>
      </x:c>
      <x:c r="C6" s="87" t="str">
        <x:v>底部导航</x:v>
      </x:c>
      <x:c r="D6" s="87" t="str">
        <x:v>P1</x:v>
      </x:c>
      <x:c r="E6" s="87" t="str">
        <x:v>交互</x:v>
      </x:c>
      <x:c r="F6" s="87" t="str">
        <x:v>小程序已启动</x:v>
      </x:c>
      <x:c r="G6" s="87" t="str">
        <x:v>依次点击“工具 / 刷题 / 关于”</x:v>
      </x:c>
      <x:c r="H6" s="87" t="str">
        <x:v>三个 Tab 可切换，选中态与页面内容一致</x:v>
      </x:c>
      <x:c r="I6" s="87" t="str">
        <x:v>人工冒烟</x:v>
      </x:c>
      <x:c r="J6" s="87" t="str">
        <x:v>已通过</x:v>
      </x:c>
      <x:c r="K6" s="87" t="str">
        <x:v>已从工具页切换至刷题页，pages/exam/exam 正常加载。</x:v>
      </x:c>
      <x:c r="L6" s="87" t="str"/>
    </x:row>
    <x:row r="7" ht="56" customHeight="1">
      <x:c r="A7" s="87" t="str">
        <x:v>CALC-001</x:v>
      </x:c>
      <x:c r="B7" s="87" t="str">
        <x:v>理财计算器</x:v>
      </x:c>
      <x:c r="C7" s="87" t="str">
        <x:v>页面布局</x:v>
      </x:c>
      <x:c r="D7" s="87" t="str">
        <x:v>P1</x:v>
      </x:c>
      <x:c r="E7" s="87" t="str">
        <x:v>视觉</x:v>
      </x:c>
      <x:c r="F7" s="87" t="str">
        <x:v>进入工具页</x:v>
      </x:c>
      <x:c r="G7" s="87" t="str">
        <x:v>检查利率、期数、现值、终值、每期付款额、期初/期末和操作按钮</x:v>
      </x:c>
      <x:c r="H7" s="87" t="str">
        <x:v>字段、选择控件和“清空/计算”按钮完整可见</x:v>
      </x:c>
      <x:c r="I7" s="87" t="str">
        <x:v>人工冒烟</x:v>
      </x:c>
      <x:c r="J7" s="87" t="str">
        <x:v>已通过</x:v>
      </x:c>
      <x:c r="K7" s="87" t="str">
        <x:v>开发者工具可访问性树显示所有字段及按钮。</x:v>
      </x:c>
      <x:c r="L7" s="87" t="str"/>
    </x:row>
    <x:row r="8" ht="56" customHeight="1">
      <x:c r="A8" s="87" t="str">
        <x:v>CALC-002</x:v>
      </x:c>
      <x:c r="B8" s="87" t="str">
        <x:v>理财计算器</x:v>
      </x:c>
      <x:c r="C8" s="87" t="str">
        <x:v>终值计算</x:v>
      </x:c>
      <x:c r="D8" s="87" t="str">
        <x:v>P0</x:v>
      </x:c>
      <x:c r="E8" s="87" t="str">
        <x:v>功能</x:v>
      </x:c>
      <x:c r="F8" s="87" t="str">
        <x:v>进入理财计算器</x:v>
      </x:c>
      <x:c r="G8" s="87" t="str">
        <x:v>1. 输入利率 10%
2. 输入期数 1
3. 输入现值 100
4. 勾选终值并计算</x:v>
      </x:c>
      <x:c r="H8" s="87" t="str">
        <x:v>终值计算结果为 110，格式正确</x:v>
      </x:c>
      <x:c r="I8" s="87" t="str">
        <x:v>待执行</x:v>
      </x:c>
      <x:c r="J8" s="87" t="str">
        <x:v>未执行</x:v>
      </x:c>
      <x:c r="K8" s="87" t="str">
        <x:v>本轮未执行，保留为后续人工/真机回归用例。</x:v>
      </x:c>
      <x:c r="L8" s="87" t="str"/>
    </x:row>
    <x:row r="9" ht="56" customHeight="1">
      <x:c r="A9" s="87" t="str">
        <x:v>CALC-003</x:v>
      </x:c>
      <x:c r="B9" s="87" t="str">
        <x:v>理财计算器</x:v>
      </x:c>
      <x:c r="C9" s="87" t="str">
        <x:v>现值计算</x:v>
      </x:c>
      <x:c r="D9" s="87" t="str">
        <x:v>P0</x:v>
      </x:c>
      <x:c r="E9" s="87" t="str">
        <x:v>功能</x:v>
      </x:c>
      <x:c r="F9" s="87" t="str">
        <x:v>进入理财计算器</x:v>
      </x:c>
      <x:c r="G9" s="87" t="str">
        <x:v>1. 输入利率 10%
2. 输入期数 1
3. 输入终值 110
4. 勾选现值并计算</x:v>
      </x:c>
      <x:c r="H9" s="87" t="str">
        <x:v>现值计算结果为 100</x:v>
      </x:c>
      <x:c r="I9" s="87" t="str">
        <x:v>待执行</x:v>
      </x:c>
      <x:c r="J9" s="87" t="str">
        <x:v>未执行</x:v>
      </x:c>
      <x:c r="K9" s="87" t="str">
        <x:v>本轮未执行，保留为后续人工/真机回归用例。</x:v>
      </x:c>
      <x:c r="L9" s="87" t="str"/>
    </x:row>
    <x:row r="10" ht="56" customHeight="1">
      <x:c r="A10" s="87" t="str">
        <x:v>CALC-004</x:v>
      </x:c>
      <x:c r="B10" s="87" t="str">
        <x:v>理财计算器</x:v>
      </x:c>
      <x:c r="C10" s="87" t="str">
        <x:v>付款额计算</x:v>
      </x:c>
      <x:c r="D10" s="87" t="str">
        <x:v>P1</x:v>
      </x:c>
      <x:c r="E10" s="87" t="str">
        <x:v>功能</x:v>
      </x:c>
      <x:c r="F10" s="87" t="str">
        <x:v>进入理财计算器</x:v>
      </x:c>
      <x:c r="G10" s="87" t="str">
        <x:v>输入利率、期数、现值/终值，分别选择期初和期末计算每期付款额</x:v>
      </x:c>
      <x:c r="H10" s="87" t="str">
        <x:v>两种付款时点结果符合财务公式且符号一致</x:v>
      </x:c>
      <x:c r="I10" s="87" t="str">
        <x:v>待执行</x:v>
      </x:c>
      <x:c r="J10" s="87" t="str">
        <x:v>未执行</x:v>
      </x:c>
      <x:c r="K10" s="87" t="str">
        <x:v>本轮未执行，保留为后续人工/真机回归用例。</x:v>
      </x:c>
      <x:c r="L10" s="87" t="str"/>
    </x:row>
    <x:row r="11" ht="56" customHeight="1">
      <x:c r="A11" s="87" t="str">
        <x:v>CALC-005</x:v>
      </x:c>
      <x:c r="B11" s="87" t="str">
        <x:v>理财计算器</x:v>
      </x:c>
      <x:c r="C11" s="87" t="str">
        <x:v>输入校验</x:v>
      </x:c>
      <x:c r="D11" s="87" t="str">
        <x:v>P1</x:v>
      </x:c>
      <x:c r="E11" s="87" t="str">
        <x:v>异常</x:v>
      </x:c>
      <x:c r="F11" s="87" t="str">
        <x:v>进入理财计算器</x:v>
      </x:c>
      <x:c r="G11" s="87" t="str">
        <x:v>测试空值、非数字、负期数、极大值和多个未知量</x:v>
      </x:c>
      <x:c r="H11" s="87" t="str">
        <x:v>给出明确提示，不出现 NaN、Infinity 或崩溃</x:v>
      </x:c>
      <x:c r="I11" s="87" t="str">
        <x:v>待执行</x:v>
      </x:c>
      <x:c r="J11" s="87" t="str">
        <x:v>未执行</x:v>
      </x:c>
      <x:c r="K11" s="87" t="str">
        <x:v>本轮未执行，保留为后续人工/真机回归用例。</x:v>
      </x:c>
      <x:c r="L11" s="87" t="str"/>
    </x:row>
    <x:row r="12" ht="56" customHeight="1">
      <x:c r="A12" s="87" t="str">
        <x:v>CALC-006</x:v>
      </x:c>
      <x:c r="B12" s="87" t="str">
        <x:v>理财计算器</x:v>
      </x:c>
      <x:c r="C12" s="87" t="str">
        <x:v>清空</x:v>
      </x:c>
      <x:c r="D12" s="87" t="str">
        <x:v>P2</x:v>
      </x:c>
      <x:c r="E12" s="87" t="str">
        <x:v>功能</x:v>
      </x:c>
      <x:c r="F12" s="87" t="str">
        <x:v>已填写多个字段并完成计算</x:v>
      </x:c>
      <x:c r="G12" s="87" t="str">
        <x:v>点击“清空”</x:v>
      </x:c>
      <x:c r="H12" s="87" t="str">
        <x:v>输入、选择状态和计算结果恢复初始值</x:v>
      </x:c>
      <x:c r="I12" s="87" t="str">
        <x:v>待执行</x:v>
      </x:c>
      <x:c r="J12" s="87" t="str">
        <x:v>未执行</x:v>
      </x:c>
      <x:c r="K12" s="87" t="str">
        <x:v>本轮未执行，保留为后续人工/真机回归用例。</x:v>
      </x:c>
      <x:c r="L12" s="87" t="str"/>
    </x:row>
    <x:row r="13" ht="56" customHeight="1">
      <x:c r="A13" s="87" t="str">
        <x:v>TABLE-001</x:v>
      </x:c>
      <x:c r="B13" s="87" t="str">
        <x:v>参数表</x:v>
      </x:c>
      <x:c r="C13" s="87" t="str">
        <x:v>入口切换</x:v>
      </x:c>
      <x:c r="D13" s="87" t="str">
        <x:v>P2</x:v>
      </x:c>
      <x:c r="E13" s="87" t="str">
        <x:v>交互</x:v>
      </x:c>
      <x:c r="F13" s="87" t="str">
        <x:v>进入工具页</x:v>
      </x:c>
      <x:c r="G13" s="87" t="str">
        <x:v>点击“参数表”标签</x:v>
      </x:c>
      <x:c r="H13" s="87" t="str">
        <x:v>参数表入口正常展示，返回计算器不丢失页面状态</x:v>
      </x:c>
      <x:c r="I13" s="87" t="str">
        <x:v>待执行</x:v>
      </x:c>
      <x:c r="J13" s="87" t="str">
        <x:v>未执行</x:v>
      </x:c>
      <x:c r="K13" s="87" t="str">
        <x:v>本轮未执行，保留为后续人工/真机回归用例。</x:v>
      </x:c>
      <x:c r="L13" s="87" t="str"/>
    </x:row>
    <x:row r="14" ht="56" customHeight="1">
      <x:c r="A14" s="87" t="str">
        <x:v>TABLE-002</x:v>
      </x:c>
      <x:c r="B14" s="87" t="str">
        <x:v>参数表</x:v>
      </x:c>
      <x:c r="C14" s="87" t="str">
        <x:v>年金表</x:v>
      </x:c>
      <x:c r="D14" s="87" t="str">
        <x:v>P1</x:v>
      </x:c>
      <x:c r="E14" s="87" t="str">
        <x:v>功能</x:v>
      </x:c>
      <x:c r="F14" s="87" t="str">
        <x:v>进入参数表</x:v>
      </x:c>
      <x:c r="G14" s="87" t="str">
        <x:v>分别打开年金终值表、年金现值表并核对边界年份/利率</x:v>
      </x:c>
      <x:c r="H14" s="87" t="str">
        <x:v>表格数据可滚动，关键值与标准系数一致</x:v>
      </x:c>
      <x:c r="I14" s="87" t="str">
        <x:v>待执行</x:v>
      </x:c>
      <x:c r="J14" s="87" t="str">
        <x:v>未执行</x:v>
      </x:c>
      <x:c r="K14" s="87" t="str">
        <x:v>本轮未执行，保留为后续人工/真机回归用例。</x:v>
      </x:c>
      <x:c r="L14" s="87" t="str"/>
    </x:row>
    <x:row r="15" ht="56" customHeight="1">
      <x:c r="A15" s="87" t="str">
        <x:v>TABLE-003</x:v>
      </x:c>
      <x:c r="B15" s="87" t="str">
        <x:v>参数表</x:v>
      </x:c>
      <x:c r="C15" s="87" t="str">
        <x:v>复利表</x:v>
      </x:c>
      <x:c r="D15" s="87" t="str">
        <x:v>P1</x:v>
      </x:c>
      <x:c r="E15" s="87" t="str">
        <x:v>功能</x:v>
      </x:c>
      <x:c r="F15" s="87" t="str">
        <x:v>进入参数表</x:v>
      </x:c>
      <x:c r="G15" s="87" t="str">
        <x:v>分别打开复利终值表、复利现值表并核对典型值</x:v>
      </x:c>
      <x:c r="H15" s="87" t="str">
        <x:v>典型值与标准系数一致，表头固定或可辨识</x:v>
      </x:c>
      <x:c r="I15" s="87" t="str">
        <x:v>待执行</x:v>
      </x:c>
      <x:c r="J15" s="87" t="str">
        <x:v>未执行</x:v>
      </x:c>
      <x:c r="K15" s="87" t="str">
        <x:v>本轮未执行，保留为后续人工/真机回归用例。</x:v>
      </x:c>
      <x:c r="L15" s="87" t="str"/>
    </x:row>
    <x:row r="16" ht="56" customHeight="1">
      <x:c r="A16" s="87" t="str">
        <x:v>TAX-001</x:v>
      </x:c>
      <x:c r="B16" s="87" t="str">
        <x:v>税率表</x:v>
      </x:c>
      <x:c r="C16" s="87" t="str">
        <x:v>四类税率</x:v>
      </x:c>
      <x:c r="D16" s="87" t="str">
        <x:v>P1</x:v>
      </x:c>
      <x:c r="E16" s="87" t="str">
        <x:v>功能</x:v>
      </x:c>
      <x:c r="F16" s="87" t="str">
        <x:v>进入工具相关页面</x:v>
      </x:c>
      <x:c r="G16" s="87" t="str">
        <x:v>检查综合所得、经营所得、年终奖和劳务报酬税率表</x:v>
      </x:c>
      <x:c r="H16" s="87" t="str">
        <x:v>档位、税率和速算扣除数完整，页面可滚动</x:v>
      </x:c>
      <x:c r="I16" s="87" t="str">
        <x:v>待执行</x:v>
      </x:c>
      <x:c r="J16" s="87" t="str">
        <x:v>未执行</x:v>
      </x:c>
      <x:c r="K16" s="87" t="str">
        <x:v>本轮未执行，保留为后续人工/真机回归用例。</x:v>
      </x:c>
      <x:c r="L16" s="87" t="str"/>
    </x:row>
    <x:row r="17" ht="56" customHeight="1">
      <x:c r="A17" s="87" t="str">
        <x:v>HOME-001</x:v>
      </x:c>
      <x:c r="B17" s="87" t="str">
        <x:v>刷题首页</x:v>
      </x:c>
      <x:c r="C17" s="87" t="str">
        <x:v>页面加载</x:v>
      </x:c>
      <x:c r="D17" s="87" t="str">
        <x:v>P0</x:v>
      </x:c>
      <x:c r="E17" s="87" t="str">
        <x:v>冒烟</x:v>
      </x:c>
      <x:c r="F17" s="87" t="str">
        <x:v>已选择默认科目</x:v>
      </x:c>
      <x:c r="G17" s="87" t="str">
        <x:v>进入“刷题”Tab，观察科目、今日刷题、题库进度和练习入口</x:v>
      </x:c>
      <x:c r="H17" s="87" t="str">
        <x:v>页面正常加载，核心统计和入口完整</x:v>
      </x:c>
      <x:c r="I17" s="87" t="str">
        <x:v>人工冒烟</x:v>
      </x:c>
      <x:c r="J17" s="87" t="str">
        <x:v>已通过</x:v>
      </x:c>
      <x:c r="K17" s="87" t="str">
        <x:v>显示初级个人理财、822 总题数及智能/章节/搜索/错题/收藏/知识点/设置入口。</x:v>
      </x:c>
      <x:c r="L17" s="87" t="str"/>
    </x:row>
    <x:row r="18" ht="56" customHeight="1">
      <x:c r="A18" s="87" t="str">
        <x:v>HOME-002</x:v>
      </x:c>
      <x:c r="B18" s="87" t="str">
        <x:v>刷题首页</x:v>
      </x:c>
      <x:c r="C18" s="87" t="str">
        <x:v>题库统计</x:v>
      </x:c>
      <x:c r="D18" s="87" t="str">
        <x:v>P1</x:v>
      </x:c>
      <x:c r="E18" s="87" t="str">
        <x:v>数据</x:v>
      </x:c>
      <x:c r="F18" s="87" t="str">
        <x:v>存在本地/云端练习数据</x:v>
      </x:c>
      <x:c r="G18" s="87" t="str">
        <x:v>核对总题数、已练习、正确率、待巩固与数据源</x:v>
      </x:c>
      <x:c r="H18" s="87" t="str">
        <x:v>统计口径正确，刷新后数值一致</x:v>
      </x:c>
      <x:c r="I18" s="87" t="str">
        <x:v>人工冒烟</x:v>
      </x:c>
      <x:c r="J18" s="87" t="str">
        <x:v>已通过</x:v>
      </x:c>
      <x:c r="K18" s="87" t="str">
        <x:v>页面显示 822 总题数；与题库云函数自动化测试一致。</x:v>
      </x:c>
      <x:c r="L18" s="87" t="str"/>
    </x:row>
    <x:row r="19" ht="56" customHeight="1">
      <x:c r="A19" s="87" t="str">
        <x:v>HOME-003</x:v>
      </x:c>
      <x:c r="B19" s="87" t="str">
        <x:v>刷题首页</x:v>
      </x:c>
      <x:c r="C19" s="87" t="str">
        <x:v>切换科目</x:v>
      </x:c>
      <x:c r="D19" s="87" t="str">
        <x:v>P1</x:v>
      </x:c>
      <x:c r="E19" s="87" t="str">
        <x:v>功能</x:v>
      </x:c>
      <x:c r="F19" s="87" t="str">
        <x:v>至少有两个可用科目</x:v>
      </x:c>
      <x:c r="G19" s="87" t="str">
        <x:v>点击“切换”，选择另一科目后返回</x:v>
      </x:c>
      <x:c r="H19" s="87" t="str">
        <x:v>标题、题库统计和各练习入口切换到所选科目</x:v>
      </x:c>
      <x:c r="I19" s="87" t="str">
        <x:v>待执行</x:v>
      </x:c>
      <x:c r="J19" s="87" t="str">
        <x:v>未执行</x:v>
      </x:c>
      <x:c r="K19" s="87" t="str">
        <x:v>本轮未执行，保留为后续人工/真机回归用例。</x:v>
      </x:c>
      <x:c r="L19" s="87" t="str"/>
    </x:row>
    <x:row r="20" ht="56" customHeight="1">
      <x:c r="A20" s="87" t="str">
        <x:v>HOME-004</x:v>
      </x:c>
      <x:c r="B20" s="87" t="str">
        <x:v>刷题首页</x:v>
      </x:c>
      <x:c r="C20" s="87" t="str">
        <x:v>搜索入口</x:v>
      </x:c>
      <x:c r="D20" s="87" t="str">
        <x:v>P1</x:v>
      </x:c>
      <x:c r="E20" s="87" t="str">
        <x:v>交互</x:v>
      </x:c>
      <x:c r="F20" s="87" t="str">
        <x:v>刷题首页已加载</x:v>
      </x:c>
      <x:c r="G20" s="87" t="str">
        <x:v>点击搜索框，输入题干/章节/知识点关键词</x:v>
      </x:c>
      <x:c r="H20" s="87" t="str">
        <x:v>进入搜索页并展示匹配结果</x:v>
      </x:c>
      <x:c r="I20" s="87" t="str">
        <x:v>待执行</x:v>
      </x:c>
      <x:c r="J20" s="87" t="str">
        <x:v>未执行</x:v>
      </x:c>
      <x:c r="K20" s="87" t="str">
        <x:v>本轮未执行，保留为后续人工/真机回归用例。</x:v>
      </x:c>
      <x:c r="L20" s="87" t="str"/>
    </x:row>
    <x:row r="21" ht="56" customHeight="1">
      <x:c r="A21" s="87" t="str">
        <x:v>CAT-001</x:v>
      </x:c>
      <x:c r="B21" s="87" t="str">
        <x:v>章节/知识点</x:v>
      </x:c>
      <x:c r="C21" s="87" t="str">
        <x:v>章节目录</x:v>
      </x:c>
      <x:c r="D21" s="87" t="str">
        <x:v>P0</x:v>
      </x:c>
      <x:c r="E21" s="87" t="str">
        <x:v>冒烟</x:v>
      </x:c>
      <x:c r="F21" s="87" t="str">
        <x:v>默认科目题库可用</x:v>
      </x:c>
      <x:c r="G21" s="87" t="str">
        <x:v>点击章节练习，等待目录加载</x:v>
      </x:c>
      <x:c r="H21" s="87" t="str">
        <x:v>显示 8 个章节及各章节题量/进度</x:v>
      </x:c>
      <x:c r="I21" s="87" t="str">
        <x:v>人工冒烟</x:v>
      </x:c>
      <x:c r="J21" s="87" t="str">
        <x:v>已通过</x:v>
      </x:c>
      <x:c r="K21" s="87" t="str">
        <x:v>章节目录正常显示 8 个章节；第一章显示 21/79 等进度。</x:v>
      </x:c>
      <x:c r="L21" s="87" t="str"/>
    </x:row>
    <x:row r="22" ht="56" customHeight="1">
      <x:c r="A22" s="87" t="str">
        <x:v>CAT-002</x:v>
      </x:c>
      <x:c r="B22" s="87" t="str">
        <x:v>章节/知识点</x:v>
      </x:c>
      <x:c r="C22" s="87" t="str">
        <x:v>目录数据</x:v>
      </x:c>
      <x:c r="D22" s="87" t="str">
        <x:v>P1</x:v>
      </x:c>
      <x:c r="E22" s="87" t="str">
        <x:v>数据</x:v>
      </x:c>
      <x:c r="F22" s="87" t="str">
        <x:v>题库云函数可运行</x:v>
      </x:c>
      <x:c r="G22" s="87" t="str">
        <x:v>请求 catalog，核对章节数、知识点组数和总题数</x:v>
      </x:c>
      <x:c r="H22" s="87" t="str">
        <x:v>总题数 822、章节 8、知识点组 122</x:v>
      </x:c>
      <x:c r="I22" s="87" t="str">
        <x:v>自动化：questionBank/test.js（28 个断言）</x:v>
      </x:c>
      <x:c r="J22" s="87" t="str">
        <x:v>已通过</x:v>
      </x:c>
      <x:c r="K22" s="87" t="str">
        <x:v>questionBank tests passed；对应断言均通过。</x:v>
      </x:c>
      <x:c r="L22" s="87" t="str"/>
    </x:row>
    <x:row r="23" ht="56" customHeight="1">
      <x:c r="A23" s="87" t="str">
        <x:v>CAT-003</x:v>
      </x:c>
      <x:c r="B23" s="87" t="str">
        <x:v>章节/知识点</x:v>
      </x:c>
      <x:c r="C23" s="87" t="str">
        <x:v>知识点筛选</x:v>
      </x:c>
      <x:c r="D23" s="87" t="str">
        <x:v>P1</x:v>
      </x:c>
      <x:c r="E23" s="87" t="str">
        <x:v>功能</x:v>
      </x:c>
      <x:c r="F23" s="87" t="str">
        <x:v>题库含知识点数据</x:v>
      </x:c>
      <x:c r="G23" s="87" t="str">
        <x:v>按指定知识点请求题目</x:v>
      </x:c>
      <x:c r="H23" s="87" t="str">
        <x:v>仅返回该知识点题目，数量正确</x:v>
      </x:c>
      <x:c r="I23" s="87" t="str">
        <x:v>自动化：questionBank/test.js（28 个断言）</x:v>
      </x:c>
      <x:c r="J23" s="87" t="str">
        <x:v>已通过</x:v>
      </x:c>
      <x:c r="K23" s="87" t="str">
        <x:v>知识点“银行个人理财业务分类”返回 21 题且筛选正确。</x:v>
      </x:c>
      <x:c r="L23" s="87" t="str"/>
    </x:row>
    <x:row r="24" ht="56" customHeight="1">
      <x:c r="A24" s="87" t="str">
        <x:v>CAT-004</x:v>
      </x:c>
      <x:c r="B24" s="87" t="str">
        <x:v>章节/知识点</x:v>
      </x:c>
      <x:c r="C24" s="87" t="str">
        <x:v>做题模式续做</x:v>
      </x:c>
      <x:c r="D24" s="87" t="str">
        <x:v>P1</x:v>
      </x:c>
      <x:c r="E24" s="87" t="str">
        <x:v>功能</x:v>
      </x:c>
      <x:c r="F24" s="87" t="str">
        <x:v>已存在章节进度</x:v>
      </x:c>
      <x:c r="G24" s="87" t="str">
        <x:v>做题模式从章节或知识点入口进入</x:v>
      </x:c>
      <x:c r="H24" s="87" t="str">
        <x:v>载入已保存题号并从断点继续</x:v>
      </x:c>
      <x:c r="I24" s="87" t="str">
        <x:v>自动化：scripts/test-practice-answer-modes.js（112 个断言）</x:v>
      </x:c>
      <x:c r="J24" s="87" t="str">
        <x:v>已通过</x:v>
      </x:c>
      <x:c r="K24" s="87" t="str">
        <x:v>章节 startId 和知识点 startId 自动化断言通过。</x:v>
      </x:c>
      <x:c r="L24" s="87" t="str"/>
    </x:row>
    <x:row r="25" ht="56" customHeight="1">
      <x:c r="A25" s="87" t="str">
        <x:v>CAT-005</x:v>
      </x:c>
      <x:c r="B25" s="87" t="str">
        <x:v>章节/知识点</x:v>
      </x:c>
      <x:c r="C25" s="87" t="str">
        <x:v>背题模式续做</x:v>
      </x:c>
      <x:c r="D25" s="87" t="str">
        <x:v>P1</x:v>
      </x:c>
      <x:c r="E25" s="87" t="str">
        <x:v>功能</x:v>
      </x:c>
      <x:c r="F25" s="87" t="str">
        <x:v>已存在知识点进度</x:v>
      </x:c>
      <x:c r="G25" s="87" t="str">
        <x:v>背题模式进入知识点练习</x:v>
      </x:c>
      <x:c r="H25" s="87" t="str">
        <x:v>载入进度并从保存题号继续</x:v>
      </x:c>
      <x:c r="I25" s="87" t="str">
        <x:v>自动化：scripts/test-practice-answer-modes.js（112 个断言）</x:v>
      </x:c>
      <x:c r="J25" s="87" t="str">
        <x:v>已通过</x:v>
      </x:c>
      <x:c r="K25" s="87" t="str">
        <x:v>reviewKnowledgeResume 断言通过。</x:v>
      </x:c>
      <x:c r="L25" s="87" t="str"/>
    </x:row>
    <x:row r="26" ht="56" customHeight="1">
      <x:c r="A26" s="87" t="str">
        <x:v>CAT-006</x:v>
      </x:c>
      <x:c r="B26" s="87" t="str">
        <x:v>章节/知识点</x:v>
      </x:c>
      <x:c r="C26" s="87" t="str">
        <x:v>考试模式不载入进度</x:v>
      </x:c>
      <x:c r="D26" s="87" t="str">
        <x:v>P0</x:v>
      </x:c>
      <x:c r="E26" s="87" t="str">
        <x:v>功能</x:v>
      </x:c>
      <x:c r="F26" s="87" t="str">
        <x:v>章节/知识点存在历史进度</x:v>
      </x:c>
      <x:c r="G26" s="87" t="str">
        <x:v>切换考试模式后进入章节和知识点目录/答题页</x:v>
      </x:c>
      <x:c r="H26" s="87" t="str">
        <x:v>不读取、不展示进度；始终从第一题开始</x:v>
      </x:c>
      <x:c r="I26" s="87" t="str">
        <x:v>自动化：scripts/test-practice-answer-modes.js（112 个断言）</x:v>
      </x:c>
      <x:c r="J26" s="87" t="str">
        <x:v>已通过</x:v>
      </x:c>
      <x:c r="K26" s="87" t="str">
        <x:v>章节与知识点进度读取次数未增加；入口不含 startId/startNumber。</x:v>
      </x:c>
      <x:c r="L26" s="87" t="str"/>
    </x:row>
    <x:row r="27" ht="56" customHeight="1">
      <x:c r="A27" s="87" t="str">
        <x:v>PRA-001</x:v>
      </x:c>
      <x:c r="B27" s="87" t="str">
        <x:v>做题模式</x:v>
      </x:c>
      <x:c r="C27" s="87" t="str">
        <x:v>单选题</x:v>
      </x:c>
      <x:c r="D27" s="87" t="str">
        <x:v>P0</x:v>
      </x:c>
      <x:c r="E27" s="87" t="str">
        <x:v>功能</x:v>
      </x:c>
      <x:c r="F27" s="87" t="str">
        <x:v>答题模式为做题模式</x:v>
      </x:c>
      <x:c r="G27" s="87" t="str">
        <x:v>选择单选题答案</x:v>
      </x:c>
      <x:c r="H27" s="87" t="str">
        <x:v>立即判题、保存结果并显示答案解析</x:v>
      </x:c>
      <x:c r="I27" s="87" t="str">
        <x:v>自动化：scripts/test-practice-answer-modes.js（112 个断言）</x:v>
      </x:c>
      <x:c r="J27" s="87" t="str">
        <x:v>已通过</x:v>
      </x:c>
      <x:c r="K27" s="87" t="str">
        <x:v>recordAnswer 被调用，正确状态和解析显示断言通过。</x:v>
      </x:c>
      <x:c r="L27" s="87" t="str"/>
    </x:row>
    <x:row r="28" ht="56" customHeight="1">
      <x:c r="A28" s="87" t="str">
        <x:v>PRA-002</x:v>
      </x:c>
      <x:c r="B28" s="87" t="str">
        <x:v>做题模式</x:v>
      </x:c>
      <x:c r="C28" s="87" t="str">
        <x:v>多选题</x:v>
      </x:c>
      <x:c r="D28" s="87" t="str">
        <x:v>P0</x:v>
      </x:c>
      <x:c r="E28" s="87" t="str">
        <x:v>功能</x:v>
      </x:c>
      <x:c r="F28" s="87" t="str">
        <x:v>答题模式为做题模式</x:v>
      </x:c>
      <x:c r="G28" s="87" t="str">
        <x:v>依次选择多个选项后点击确认答案</x:v>
      </x:c>
      <x:c r="H28" s="87" t="str">
        <x:v>确认前仅保存草稿，确认后判题并显示解析</x:v>
      </x:c>
      <x:c r="I28" s="87" t="str">
        <x:v>自动化：scripts/test-practice-answer-modes.js（112 个断言）</x:v>
      </x:c>
      <x:c r="J28" s="87" t="str">
        <x:v>已通过</x:v>
      </x:c>
      <x:c r="K28" s="87" t="str">
        <x:v>多选草稿为 A/B，确认前无 sessionAnswer，确认后正确。</x:v>
      </x:c>
      <x:c r="L28" s="87" t="str"/>
    </x:row>
    <x:row r="29" ht="56" customHeight="1">
      <x:c r="A29" s="87" t="str">
        <x:v>PRA-003</x:v>
      </x:c>
      <x:c r="B29" s="87" t="str">
        <x:v>做题模式</x:v>
      </x:c>
      <x:c r="C29" s="87" t="str">
        <x:v>答题卡标记</x:v>
      </x:c>
      <x:c r="D29" s="87" t="str">
        <x:v>P1</x:v>
      </x:c>
      <x:c r="E29" s="87" t="str">
        <x:v>视觉</x:v>
      </x:c>
      <x:c r="F29" s="87" t="str">
        <x:v>至少完成一题</x:v>
      </x:c>
      <x:c r="G29" s="87" t="str">
        <x:v>打开答题卡并查看已答题号</x:v>
      </x:c>
      <x:c r="H29" s="87" t="str">
        <x:v>已答题号圆框使用主题色，未答题保持中性样式</x:v>
      </x:c>
      <x:c r="I29" s="87" t="str">
        <x:v>自动化：scripts/test-practice-answer-modes.js（112 个断言）</x:v>
      </x:c>
      <x:c r="J29" s="87" t="str">
        <x:v>已通过</x:v>
      </x:c>
      <x:c r="K29" s="87" t="str">
        <x:v>answerNumberClass 输出 answered 字符串类名的断言通过。</x:v>
      </x:c>
      <x:c r="L29" s="87" t="str"/>
    </x:row>
    <x:row r="30" ht="56" customHeight="1">
      <x:c r="A30" s="87" t="str">
        <x:v>PRA-004</x:v>
      </x:c>
      <x:c r="B30" s="87" t="str">
        <x:v>做题模式</x:v>
      </x:c>
      <x:c r="C30" s="87" t="str">
        <x:v>向后切题</x:v>
      </x:c>
      <x:c r="D30" s="87" t="str">
        <x:v>P0</x:v>
      </x:c>
      <x:c r="E30" s="87" t="str">
        <x:v>交互</x:v>
      </x:c>
      <x:c r="F30" s="87" t="str">
        <x:v>题组至少三题</x:v>
      </x:c>
      <x:c r="G30" s="87" t="str">
        <x:v>点击下一题或向左滑动两次</x:v>
      </x:c>
      <x:c r="H30" s="87" t="str">
        <x:v>切换动画连续，无下一题的下一题闪现</x:v>
      </x:c>
      <x:c r="I30" s="87" t="str">
        <x:v>自动化：scripts/test-practice-answer-modes.js（112 个断言）</x:v>
      </x:c>
      <x:c r="J30" s="87" t="str">
        <x:v>已通过</x:v>
      </x:c>
      <x:c r="K30" s="87" t="str">
        <x:v>三槽 swiper 1→2→0 循环及逻辑题号同步断言通过。</x:v>
      </x:c>
      <x:c r="L30" s="87" t="str"/>
    </x:row>
    <x:row r="31" ht="56" customHeight="1">
      <x:c r="A31" s="87" t="str">
        <x:v>PRA-005</x:v>
      </x:c>
      <x:c r="B31" s="87" t="str">
        <x:v>做题模式</x:v>
      </x:c>
      <x:c r="C31" s="87" t="str">
        <x:v>向前切题</x:v>
      </x:c>
      <x:c r="D31" s="87" t="str">
        <x:v>P1</x:v>
      </x:c>
      <x:c r="E31" s="87" t="str">
        <x:v>交互</x:v>
      </x:c>
      <x:c r="F31" s="87" t="str">
        <x:v>当前位于第二/三题</x:v>
      </x:c>
      <x:c r="G31" s="87" t="str">
        <x:v>点击上一题或向右滑动</x:v>
      </x:c>
      <x:c r="H31" s="87" t="str">
        <x:v>动画滚动到上一题，不出现无动画复位</x:v>
      </x:c>
      <x:c r="I31" s="87" t="str">
        <x:v>自动化：scripts/test-practice-answer-modes.js（112 个断言）</x:v>
      </x:c>
      <x:c r="J31" s="87" t="str">
        <x:v>已通过</x:v>
      </x:c>
      <x:c r="K31" s="87" t="str">
        <x:v>后退复用相邻物理槽位的断言通过。</x:v>
      </x:c>
      <x:c r="L31" s="87" t="str"/>
    </x:row>
    <x:row r="32" ht="56" customHeight="1">
      <x:c r="A32" s="87" t="str">
        <x:v>PRA-006</x:v>
      </x:c>
      <x:c r="B32" s="87" t="str">
        <x:v>做题模式</x:v>
      </x:c>
      <x:c r="C32" s="87" t="str">
        <x:v>收藏</x:v>
      </x:c>
      <x:c r="D32" s="87" t="str">
        <x:v>P1</x:v>
      </x:c>
      <x:c r="E32" s="87" t="str">
        <x:v>功能</x:v>
      </x:c>
      <x:c r="F32" s="87" t="str">
        <x:v>题目已加载</x:v>
      </x:c>
      <x:c r="G32" s="87" t="str">
        <x:v>点击收藏，再次点击取消收藏</x:v>
      </x:c>
      <x:c r="H32" s="87" t="str">
        <x:v>收藏状态、收藏夹数量和云端事件正确更新</x:v>
      </x:c>
      <x:c r="I32" s="87" t="str">
        <x:v>待执行</x:v>
      </x:c>
      <x:c r="J32" s="87" t="str">
        <x:v>未执行</x:v>
      </x:c>
      <x:c r="K32" s="87" t="str">
        <x:v>本轮未执行，保留为后续人工/真机回归用例。</x:v>
      </x:c>
      <x:c r="L32" s="87" t="str"/>
    </x:row>
    <x:row r="33" ht="56" customHeight="1">
      <x:c r="A33" s="87" t="str">
        <x:v>EXAM-001</x:v>
      </x:c>
      <x:c r="B33" s="87" t="str">
        <x:v>考试模式</x:v>
      </x:c>
      <x:c r="C33" s="87" t="str">
        <x:v>答题隔离</x:v>
      </x:c>
      <x:c r="D33" s="87" t="str">
        <x:v>P0</x:v>
      </x:c>
      <x:c r="E33" s="87" t="str">
        <x:v>功能</x:v>
      </x:c>
      <x:c r="F33" s="87" t="str">
        <x:v>答题模式为考试模式</x:v>
      </x:c>
      <x:c r="G33" s="87" t="str">
        <x:v>选择单选和多选答案并切题</x:v>
      </x:c>
      <x:c r="H33" s="87" t="str">
        <x:v>交卷前不显示答案解析，不调用正式答题记录或云同步</x:v>
      </x:c>
      <x:c r="I33" s="87" t="str">
        <x:v>自动化：scripts/test-practice-answer-modes.js（112 个断言）</x:v>
      </x:c>
      <x:c r="J33" s="87" t="str">
        <x:v>已通过</x:v>
      </x:c>
      <x:c r="K33" s="87" t="str">
        <x:v>record/flush/progress 保存调用次数均未增加。</x:v>
      </x:c>
      <x:c r="L33" s="87" t="str"/>
    </x:row>
    <x:row r="34" ht="56" customHeight="1">
      <x:c r="A34" s="87" t="str">
        <x:v>EXAM-002</x:v>
      </x:c>
      <x:c r="B34" s="87" t="str">
        <x:v>考试模式</x:v>
      </x:c>
      <x:c r="C34" s="87" t="str">
        <x:v>答题卡标记</x:v>
      </x:c>
      <x:c r="D34" s="87" t="str">
        <x:v>P1</x:v>
      </x:c>
      <x:c r="E34" s="87" t="str">
        <x:v>视觉</x:v>
      </x:c>
      <x:c r="F34" s="87" t="str">
        <x:v>考试中已选择至少一题</x:v>
      </x:c>
      <x:c r="G34" s="87" t="str">
        <x:v>打开答题卡</x:v>
      </x:c>
      <x:c r="H34" s="87" t="str">
        <x:v>已答题号圆框使用主题色，未答题保持中性样式</x:v>
      </x:c>
      <x:c r="I34" s="87" t="str">
        <x:v>自动化：scripts/test-practice-answer-modes.js（112 个断言）</x:v>
      </x:c>
      <x:c r="J34" s="87" t="str">
        <x:v>已通过</x:v>
      </x:c>
      <x:c r="K34" s="87" t="str">
        <x:v>考试草稿对应题号包含 answered 类。</x:v>
      </x:c>
      <x:c r="L34" s="87" t="str"/>
    </x:row>
    <x:row r="35" ht="56" customHeight="1">
      <x:c r="A35" s="87" t="str">
        <x:v>EXAM-003</x:v>
      </x:c>
      <x:c r="B35" s="87" t="str">
        <x:v>考试模式</x:v>
      </x:c>
      <x:c r="C35" s="87" t="str">
        <x:v>答题卡交卷</x:v>
      </x:c>
      <x:c r="D35" s="87" t="str">
        <x:v>P0</x:v>
      </x:c>
      <x:c r="E35" s="87" t="str">
        <x:v>功能</x:v>
      </x:c>
      <x:c r="F35" s="87" t="str">
        <x:v>考试进行中</x:v>
      </x:c>
      <x:c r="G35" s="87" t="str">
        <x:v>打开答题卡并点击“交卷并查看成绩”</x:v>
      </x:c>
      <x:c r="H35" s="87" t="str">
        <x:v>弹出确认交卷；确认后关闭答题卡并进入成绩页</x:v>
      </x:c>
      <x:c r="I35" s="87" t="str">
        <x:v>自动化：scripts/test-practice-answer-modes.js（112 个断言）</x:v>
      </x:c>
      <x:c r="J35" s="87" t="str">
        <x:v>已通过</x:v>
      </x:c>
      <x:c r="K35" s="87" t="str">
        <x:v>确认按钮、答题卡 close 调用和成绩页显示断言通过。</x:v>
      </x:c>
      <x:c r="L35" s="87" t="str"/>
    </x:row>
    <x:row r="36" ht="56" customHeight="1">
      <x:c r="A36" s="87" t="str">
        <x:v>EXAM-004</x:v>
      </x:c>
      <x:c r="B36" s="87" t="str">
        <x:v>考试模式</x:v>
      </x:c>
      <x:c r="C36" s="87" t="str">
        <x:v>未答题提示</x:v>
      </x:c>
      <x:c r="D36" s="87" t="str">
        <x:v>P1</x:v>
      </x:c>
      <x:c r="E36" s="87" t="str">
        <x:v>交互</x:v>
      </x:c>
      <x:c r="F36" s="87" t="str">
        <x:v>存在未答题</x:v>
      </x:c>
      <x:c r="G36" s="87" t="str">
        <x:v>点击交卷</x:v>
      </x:c>
      <x:c r="H36" s="87" t="str">
        <x:v>弹窗显示未答题数量；取消后继续考试，确认后交卷</x:v>
      </x:c>
      <x:c r="I36" s="87" t="str">
        <x:v>待执行</x:v>
      </x:c>
      <x:c r="J36" s="87" t="str">
        <x:v>未执行</x:v>
      </x:c>
      <x:c r="K36" s="87" t="str">
        <x:v>本轮未执行，保留为后续人工/真机回归用例。</x:v>
      </x:c>
      <x:c r="L36" s="87" t="str"/>
    </x:row>
    <x:row r="37" ht="56" customHeight="1">
      <x:c r="A37" s="87" t="str">
        <x:v>EXAM-005</x:v>
      </x:c>
      <x:c r="B37" s="87" t="str">
        <x:v>考试模式</x:v>
      </x:c>
      <x:c r="C37" s="87" t="str">
        <x:v>结果统计</x:v>
      </x:c>
      <x:c r="D37" s="87" t="str">
        <x:v>P0</x:v>
      </x:c>
      <x:c r="E37" s="87" t="str">
        <x:v>数据</x:v>
      </x:c>
      <x:c r="F37" s="87" t="str">
        <x:v>已完成包含单选、多选、未答题的考试</x:v>
      </x:c>
      <x:c r="G37" s="87" t="str">
        <x:v>交卷后核对正确、错误、未答、总题数和正确率</x:v>
      </x:c>
      <x:c r="H37" s="87" t="str">
        <x:v>统计口径正确；部分正确计入错误；正确率以已答题为分母</x:v>
      </x:c>
      <x:c r="I37" s="87" t="str">
        <x:v>自动化：scripts/test-practice-answer-modes.js（112 个断言）</x:v>
      </x:c>
      <x:c r="J37" s="87" t="str">
        <x:v>已通过</x:v>
      </x:c>
      <x:c r="K37" s="87" t="str">
        <x:v>1 对、2 错、1 未答、总 4、正确率 33.33% 断言通过。</x:v>
      </x:c>
      <x:c r="L37" s="87" t="str"/>
    </x:row>
    <x:row r="38" ht="56" customHeight="1">
      <x:c r="A38" s="87" t="str">
        <x:v>EXAM-006</x:v>
      </x:c>
      <x:c r="B38" s="87" t="str">
        <x:v>考试模式</x:v>
      </x:c>
      <x:c r="C38" s="87" t="str">
        <x:v>结果页布局</x:v>
      </x:c>
      <x:c r="D38" s="87" t="str">
        <x:v>P1</x:v>
      </x:c>
      <x:c r="E38" s="87" t="str">
        <x:v>视觉</x:v>
      </x:c>
      <x:c r="F38" s="87" t="str">
        <x:v>已交卷</x:v>
      </x:c>
      <x:c r="G38" s="87" t="str">
        <x:v>检查主题色、统计卡片、三操作按钮和广告区域</x:v>
      </x:c>
      <x:c r="H38" s="87" t="str">
        <x:v>主题一致；返回/重测/分享同一行；广告位在底部</x:v>
      </x:c>
      <x:c r="I38" s="87" t="str">
        <x:v>待执行</x:v>
      </x:c>
      <x:c r="J38" s="87" t="str">
        <x:v>未执行</x:v>
      </x:c>
      <x:c r="K38" s="87" t="str">
        <x:v>本轮未执行，保留为后续人工/真机回归用例。</x:v>
      </x:c>
      <x:c r="L38" s="87" t="str"/>
    </x:row>
    <x:row r="39" ht="56" customHeight="1">
      <x:c r="A39" s="87" t="str">
        <x:v>EXAM-007</x:v>
      </x:c>
      <x:c r="B39" s="87" t="str">
        <x:v>考试模式</x:v>
      </x:c>
      <x:c r="C39" s="87" t="str">
        <x:v>重新测试</x:v>
      </x:c>
      <x:c r="D39" s="87" t="str">
        <x:v>P1</x:v>
      </x:c>
      <x:c r="E39" s="87" t="str">
        <x:v>功能</x:v>
      </x:c>
      <x:c r="F39" s="87" t="str">
        <x:v>成绩页已显示</x:v>
      </x:c>
      <x:c r="G39" s="87" t="str">
        <x:v>点击重新测试</x:v>
      </x:c>
      <x:c r="H39" s="87" t="str">
        <x:v>临时成绩和答案清空，从第一题重新开始</x:v>
      </x:c>
      <x:c r="I39" s="87" t="str">
        <x:v>自动化：scripts/test-practice-answer-modes.js（112 个断言）</x:v>
      </x:c>
      <x:c r="J39" s="87" t="str">
        <x:v>已通过</x:v>
      </x:c>
      <x:c r="K39" s="87" t="str">
        <x:v>examResult/session/draft 清空且 currentIndex=0。</x:v>
      </x:c>
      <x:c r="L39" s="87" t="str"/>
    </x:row>
    <x:row r="40" ht="56" customHeight="1">
      <x:c r="A40" s="87" t="str">
        <x:v>EXAM-008</x:v>
      </x:c>
      <x:c r="B40" s="87" t="str">
        <x:v>考试模式</x:v>
      </x:c>
      <x:c r="C40" s="87" t="str">
        <x:v>临时数据销毁</x:v>
      </x:c>
      <x:c r="D40" s="87" t="str">
        <x:v>P0</x:v>
      </x:c>
      <x:c r="E40" s="87" t="str">
        <x:v>数据</x:v>
      </x:c>
      <x:c r="F40" s="87" t="str">
        <x:v>成绩页已显示</x:v>
      </x:c>
      <x:c r="G40" s="87" t="str">
        <x:v>离开页面后检查本地/云端</x:v>
      </x:c>
      <x:c r="H40" s="87" t="str">
        <x:v>本次考试结果离开即销毁，不写入云端练习进度</x:v>
      </x:c>
      <x:c r="I40" s="87" t="str">
        <x:v>自动化：scripts/test-practice-answer-modes.js（112 个断言）</x:v>
      </x:c>
      <x:c r="J40" s="87" t="str">
        <x:v>已通过</x:v>
      </x:c>
      <x:c r="K40" s="87" t="str">
        <x:v>考试模式 sync/progress/flush 均未触发。</x:v>
      </x:c>
      <x:c r="L40" s="87" t="str"/>
    </x:row>
    <x:row r="41" ht="56" customHeight="1">
      <x:c r="A41" s="87" t="str">
        <x:v>AD-001</x:v>
      </x:c>
      <x:c r="B41" s="87" t="str">
        <x:v>广告</x:v>
      </x:c>
      <x:c r="C41" s="87" t="str">
        <x:v>成绩页广告</x:v>
      </x:c>
      <x:c r="D41" s="87" t="str">
        <x:v>P2</x:v>
      </x:c>
      <x:c r="E41" s="87" t="str">
        <x:v>集成</x:v>
      </x:c>
      <x:c r="F41" s="87" t="str">
        <x:v>微信广告单元可用且网络正常</x:v>
      </x:c>
      <x:c r="G41" s="87" t="str">
        <x:v>完成考试并滚动至结果页底部</x:v>
      </x:c>
      <x:c r="H41" s="87" t="str">
        <x:v>原生模板广告加载成功；失败时不遮挡结果及操作按钮</x:v>
      </x:c>
      <x:c r="I41" s="87" t="str">
        <x:v>待执行</x:v>
      </x:c>
      <x:c r="J41" s="87" t="str">
        <x:v>未执行</x:v>
      </x:c>
      <x:c r="K41" s="87" t="str">
        <x:v>本轮未执行，保留为后续人工/真机回归用例。</x:v>
      </x:c>
      <x:c r="L41" s="87" t="str"/>
    </x:row>
    <x:row r="42" ht="56" customHeight="1">
      <x:c r="A42" s="87" t="str">
        <x:v>SHARE-001</x:v>
      </x:c>
      <x:c r="B42" s="87" t="str">
        <x:v>成绩分享</x:v>
      </x:c>
      <x:c r="C42" s="87" t="str">
        <x:v>生成分享路径</x:v>
      </x:c>
      <x:c r="D42" s="87" t="str">
        <x:v>P0</x:v>
      </x:c>
      <x:c r="E42" s="87" t="str">
        <x:v>功能</x:v>
      </x:c>
      <x:c r="F42" s="87" t="str">
        <x:v>考试结果已生成</x:v>
      </x:c>
      <x:c r="G42" s="87" t="str">
        <x:v>点击分享成绩</x:v>
      </x:c>
      <x:c r="H42" s="87" t="str">
        <x:v>分享标题含正确率；路径包含压缩后的成绩汇总</x:v>
      </x:c>
      <x:c r="I42" s="87" t="str">
        <x:v>自动化：scripts/test-practice-answer-modes.js（112 个断言）</x:v>
      </x:c>
      <x:c r="J42" s="87" t="str">
        <x:v>已通过</x:v>
      </x:c>
      <x:c r="K42" s="87" t="str">
        <x:v>分享标题 33.33%，路径以 sharedResult 参数开头。</x:v>
      </x:c>
      <x:c r="L42" s="87" t="str"/>
    </x:row>
    <x:row r="43" ht="56" customHeight="1">
      <x:c r="A43" s="87" t="str">
        <x:v>SHARE-002</x:v>
      </x:c>
      <x:c r="B43" s="87" t="str">
        <x:v>成绩分享</x:v>
      </x:c>
      <x:c r="C43" s="87" t="str">
        <x:v>接收者查看</x:v>
      </x:c>
      <x:c r="D43" s="87" t="str">
        <x:v>P0</x:v>
      </x:c>
      <x:c r="E43" s="87" t="str">
        <x:v>功能</x:v>
      </x:c>
      <x:c r="F43" s="87" t="str">
        <x:v>拥有有效分享路径</x:v>
      </x:c>
      <x:c r="G43" s="87" t="str">
        <x:v>从分享卡片打开小程序</x:v>
      </x:c>
      <x:c r="H43" s="87" t="str">
        <x:v>进入只读成绩页，章节名和统计与分享者一致</x:v>
      </x:c>
      <x:c r="I43" s="87" t="str">
        <x:v>自动化：scripts/test-practice-answer-modes.js（112 个断言）</x:v>
      </x:c>
      <x:c r="J43" s="87" t="str">
        <x:v>已通过</x:v>
      </x:c>
      <x:c r="K43" s="87" t="str">
        <x:v>有效 payload 恢复第一章、1 对、2 错、1 未答、总 4。</x:v>
      </x:c>
      <x:c r="L43" s="87" t="str"/>
    </x:row>
    <x:row r="44" ht="56" customHeight="1">
      <x:c r="A44" s="87" t="str">
        <x:v>SHARE-003</x:v>
      </x:c>
      <x:c r="B44" s="87" t="str">
        <x:v>成绩分享</x:v>
      </x:c>
      <x:c r="C44" s="87" t="str">
        <x:v>无效数据</x:v>
      </x:c>
      <x:c r="D44" s="87" t="str">
        <x:v>P1</x:v>
      </x:c>
      <x:c r="E44" s="87" t="str">
        <x:v>异常</x:v>
      </x:c>
      <x:c r="F44" s="87" t="str">
        <x:v>构造损坏的 sharedResult</x:v>
      </x:c>
      <x:c r="G44" s="87" t="str">
        <x:v>打开损坏分享链接</x:v>
      </x:c>
      <x:c r="H44" s="87" t="str">
        <x:v>提示“分享的考试结果无效或已损坏”，不崩溃</x:v>
      </x:c>
      <x:c r="I44" s="87" t="str">
        <x:v>自动化：scripts/test-practice-answer-modes.js（112 个断言）</x:v>
      </x:c>
      <x:c r="J44" s="87" t="str">
        <x:v>已通过</x:v>
      </x:c>
      <x:c r="K44" s="87" t="str">
        <x:v>无效编码断言通过。</x:v>
      </x:c>
      <x:c r="L44" s="87" t="str"/>
    </x:row>
    <x:row r="45" ht="56" customHeight="1">
      <x:c r="A45" s="87" t="str">
        <x:v>SHARE-004</x:v>
      </x:c>
      <x:c r="B45" s="87" t="str">
        <x:v>成绩分享</x:v>
      </x:c>
      <x:c r="C45" s="87" t="str">
        <x:v>去刷题</x:v>
      </x:c>
      <x:c r="D45" s="87" t="str">
        <x:v>P1</x:v>
      </x:c>
      <x:c r="E45" s="87" t="str">
        <x:v>交互</x:v>
      </x:c>
      <x:c r="F45" s="87" t="str">
        <x:v>接收者位于只读成绩页</x:v>
      </x:c>
      <x:c r="G45" s="87" t="str">
        <x:v>点击“去刷题”</x:v>
      </x:c>
      <x:c r="H45" s="87" t="str">
        <x:v>切换至刷题首页</x:v>
      </x:c>
      <x:c r="I45" s="87" t="str">
        <x:v>自动化：scripts/test-practice-answer-modes.js（112 个断言）</x:v>
      </x:c>
      <x:c r="J45" s="87" t="str">
        <x:v>已通过</x:v>
      </x:c>
      <x:c r="K45" s="87" t="str">
        <x:v>switchTab 目标为 /pages/exam/exam。</x:v>
      </x:c>
      <x:c r="L45" s="87" t="str"/>
    </x:row>
    <x:row r="46" ht="56" customHeight="1">
      <x:c r="A46" s="87" t="str">
        <x:v>SHARE-005</x:v>
      </x:c>
      <x:c r="B46" s="87" t="str">
        <x:v>成绩分享</x:v>
      </x:c>
      <x:c r="C46" s="87" t="str">
        <x:v>微信真机分享</x:v>
      </x:c>
      <x:c r="D46" s="87" t="str">
        <x:v>P0</x:v>
      </x:c>
      <x:c r="E46" s="87" t="str">
        <x:v>真机</x:v>
      </x:c>
      <x:c r="F46" s="87" t="str">
        <x:v>微信真机及可分享好友可用</x:v>
      </x:c>
      <x:c r="G46" s="87" t="str">
        <x:v>发起分享并由另一微信账号打开</x:v>
      </x:c>
      <x:c r="H46" s="87" t="str">
        <x:v>分享卡片正常送达，接收者可查看结果并进入刷题首页</x:v>
      </x:c>
      <x:c r="I46" s="87" t="str">
        <x:v>待执行</x:v>
      </x:c>
      <x:c r="J46" s="87" t="str">
        <x:v>未执行</x:v>
      </x:c>
      <x:c r="K46" s="87" t="str">
        <x:v>本轮未执行，保留为后续人工/真机回归用例。</x:v>
      </x:c>
      <x:c r="L46" s="87" t="str"/>
    </x:row>
    <x:row r="47" ht="56" customHeight="1">
      <x:c r="A47" s="87" t="str">
        <x:v>REV-001</x:v>
      </x:c>
      <x:c r="B47" s="87" t="str">
        <x:v>背题模式</x:v>
      </x:c>
      <x:c r="C47" s="87" t="str">
        <x:v>答案展示</x:v>
      </x:c>
      <x:c r="D47" s="87" t="str">
        <x:v>P0</x:v>
      </x:c>
      <x:c r="E47" s="87" t="str">
        <x:v>功能</x:v>
      </x:c>
      <x:c r="F47" s="87" t="str">
        <x:v>答题模式为背题模式</x:v>
      </x:c>
      <x:c r="G47" s="87" t="str">
        <x:v>进入题目并尝试选择选项</x:v>
      </x:c>
      <x:c r="H47" s="87" t="str">
        <x:v>直接显示答案与解析，不提交答题记录</x:v>
      </x:c>
      <x:c r="I47" s="87" t="str">
        <x:v>自动化：scripts/test-practice-answer-modes.js（112 个断言）</x:v>
      </x:c>
      <x:c r="J47" s="87" t="str">
        <x:v>已通过</x:v>
      </x:c>
      <x:c r="K47" s="87" t="str">
        <x:v>解析可见、选择保持为空、recordAnswer 未调用。</x:v>
      </x:c>
      <x:c r="L47" s="87" t="str"/>
    </x:row>
    <x:row r="48" ht="56" customHeight="1">
      <x:c r="A48" s="87" t="str">
        <x:v>REV-002</x:v>
      </x:c>
      <x:c r="B48" s="87" t="str">
        <x:v>背题模式</x:v>
      </x:c>
      <x:c r="C48" s="87" t="str">
        <x:v>答题卡标记</x:v>
      </x:c>
      <x:c r="D48" s="87" t="str">
        <x:v>P1</x:v>
      </x:c>
      <x:c r="E48" s="87" t="str">
        <x:v>视觉</x:v>
      </x:c>
      <x:c r="F48" s="87" t="str">
        <x:v>已浏览至少一题</x:v>
      </x:c>
      <x:c r="G48" s="87" t="str">
        <x:v>打开答题卡</x:v>
      </x:c>
      <x:c r="H48" s="87" t="str">
        <x:v>已浏览题号圆框使用主题色，已答数量同步增加</x:v>
      </x:c>
      <x:c r="I48" s="87" t="str">
        <x:v>自动化：scripts/test-practice-answer-modes.js（112 个断言）</x:v>
      </x:c>
      <x:c r="J48" s="87" t="str">
        <x:v>已通过</x:v>
      </x:c>
      <x:c r="K48" s="87" t="str">
        <x:v>visitedQuestionIds 与 answeredCount=1 断言通过。</x:v>
      </x:c>
      <x:c r="L48" s="87" t="str"/>
    </x:row>
    <x:row r="49" ht="56" customHeight="1">
      <x:c r="A49" s="87" t="str">
        <x:v>SET-001</x:v>
      </x:c>
      <x:c r="B49" s="87" t="str">
        <x:v>答题设置</x:v>
      </x:c>
      <x:c r="C49" s="87" t="str">
        <x:v>三种模式</x:v>
      </x:c>
      <x:c r="D49" s="87" t="str">
        <x:v>P0</x:v>
      </x:c>
      <x:c r="E49" s="87" t="str">
        <x:v>功能</x:v>
      </x:c>
      <x:c r="F49" s="87" t="str">
        <x:v>进入答题设置</x:v>
      </x:c>
      <x:c r="G49" s="87" t="str">
        <x:v>依次选择考试、做题、背题模式并重新进入答题页</x:v>
      </x:c>
      <x:c r="H49" s="87" t="str">
        <x:v>选择即时保存，答题页行为与所选模式一致</x:v>
      </x:c>
      <x:c r="I49" s="87" t="str">
        <x:v>自动化：scripts/test-practice-answer-modes.js（112 个断言）</x:v>
      </x:c>
      <x:c r="J49" s="87" t="str">
        <x:v>已通过</x:v>
      </x:c>
      <x:c r="K49" s="87" t="str">
        <x:v>answerMode 本地/云端偏好更新断言通过。</x:v>
      </x:c>
      <x:c r="L49" s="87" t="str"/>
    </x:row>
    <x:row r="50" ht="56" customHeight="1">
      <x:c r="A50" s="87" t="str">
        <x:v>SET-002</x:v>
      </x:c>
      <x:c r="B50" s="87" t="str">
        <x:v>答题设置</x:v>
      </x:c>
      <x:c r="C50" s="87" t="str">
        <x:v>夜间模式</x:v>
      </x:c>
      <x:c r="D50" s="87" t="str">
        <x:v>P1</x:v>
      </x:c>
      <x:c r="E50" s="87" t="str">
        <x:v>功能</x:v>
      </x:c>
      <x:c r="F50" s="87" t="str">
        <x:v>进入答题设置</x:v>
      </x:c>
      <x:c r="G50" s="87" t="str">
        <x:v>开启/关闭夜间模式，返回刷题首页和答题页</x:v>
      </x:c>
      <x:c r="H50" s="87" t="str">
        <x:v>页面、导航栏和 TabBar 同步切换主题</x:v>
      </x:c>
      <x:c r="I50" s="87" t="str">
        <x:v>自动化：scripts/test-practice-answer-modes.js（112 个断言）</x:v>
      </x:c>
      <x:c r="J50" s="87" t="str">
        <x:v>已通过</x:v>
      </x:c>
      <x:c r="K50" s="87" t="str">
        <x:v>导航栏与 TabBar 深浅色值断言通过。</x:v>
      </x:c>
      <x:c r="L50" s="87" t="str"/>
    </x:row>
    <x:row r="51" ht="56" customHeight="1">
      <x:c r="A51" s="87" t="str">
        <x:v>SET-003</x:v>
      </x:c>
      <x:c r="B51" s="87" t="str">
        <x:v>答题设置</x:v>
      </x:c>
      <x:c r="C51" s="87" t="str">
        <x:v>夜间视觉回归</x:v>
      </x:c>
      <x:c r="D51" s="87" t="str">
        <x:v>P1</x:v>
      </x:c>
      <x:c r="E51" s="87" t="str">
        <x:v>视觉</x:v>
      </x:c>
      <x:c r="F51" s="87" t="str">
        <x:v>夜间模式已开启</x:v>
      </x:c>
      <x:c r="G51" s="87" t="str">
        <x:v>检查刷题首页、目录、答题页、答题卡、结果页和设置页</x:v>
      </x:c>
      <x:c r="H51" s="87" t="str">
        <x:v>无亮色漏底、文字可读、主题色一致</x:v>
      </x:c>
      <x:c r="I51" s="87" t="str">
        <x:v>待执行</x:v>
      </x:c>
      <x:c r="J51" s="87" t="str">
        <x:v>未执行</x:v>
      </x:c>
      <x:c r="K51" s="87" t="str">
        <x:v>本轮未执行，保留为后续人工/真机回归用例。</x:v>
      </x:c>
      <x:c r="L51" s="87" t="str"/>
    </x:row>
    <x:row r="52" ht="56" customHeight="1">
      <x:c r="A52" s="87" t="str">
        <x:v>REC-001</x:v>
      </x:c>
      <x:c r="B52" s="87" t="str">
        <x:v>错题/收藏</x:v>
      </x:c>
      <x:c r="C52" s="87" t="str">
        <x:v>云端快照</x:v>
      </x:c>
      <x:c r="D52" s="87" t="str">
        <x:v>P1</x:v>
      </x:c>
      <x:c r="E52" s="87" t="str">
        <x:v>数据</x:v>
      </x:c>
      <x:c r="F52" s="87" t="str">
        <x:v>已有答题与收藏事件</x:v>
      </x:c>
      <x:c r="G52" s="87" t="str">
        <x:v>获取状态快照</x:v>
      </x:c>
      <x:c r="H52" s="87" t="str">
        <x:v>错题、收藏、答案选择和章节统计正确聚合</x:v>
      </x:c>
      <x:c r="I52" s="87" t="str">
        <x:v>自动化：scripts/test-user-practice-service.js（57 个断言）</x:v>
      </x:c>
      <x:c r="J52" s="87" t="str">
        <x:v>已通过</x:v>
      </x:c>
      <x:c r="K52" s="87" t="str">
        <x:v>wrongQuestionIds、favoriteQuestionIds、answerSelections 和缓存断言通过。</x:v>
      </x:c>
      <x:c r="L52" s="87" t="str"/>
    </x:row>
    <x:row r="53" ht="56" customHeight="1">
      <x:c r="A53" s="87" t="str">
        <x:v>REC-002</x:v>
      </x:c>
      <x:c r="B53" s="87" t="str">
        <x:v>错题/收藏</x:v>
      </x:c>
      <x:c r="C53" s="87" t="str">
        <x:v>记录查询</x:v>
      </x:c>
      <x:c r="D53" s="87" t="str">
        <x:v>P1</x:v>
      </x:c>
      <x:c r="E53" s="87" t="str">
        <x:v>功能</x:v>
      </x:c>
      <x:c r="F53" s="87" t="str">
        <x:v>云端存在错题/收藏记录</x:v>
      </x:c>
      <x:c r="G53" s="87" t="str">
        <x:v>查询错题集和收藏夹</x:v>
      </x:c>
      <x:c r="H53" s="87" t="str">
        <x:v>分页、总数和题目详情正确；用户数据隔离</x:v>
      </x:c>
      <x:c r="I53" s="87" t="str">
        <x:v>自动化：questionBankUser/test.js（33 个断言）</x:v>
      </x:c>
      <x:c r="J53" s="87" t="str">
        <x:v>已通过</x:v>
      </x:c>
      <x:c r="K53" s="87" t="str">
        <x:v>错题总数 0、收藏 1、recordId 和用户隔离断言通过。</x:v>
      </x:c>
      <x:c r="L53" s="87" t="str"/>
    </x:row>
    <x:row r="54" ht="56" customHeight="1">
      <x:c r="A54" s="87" t="str">
        <x:v>REC-003</x:v>
      </x:c>
      <x:c r="B54" s="87" t="str">
        <x:v>错题/收藏</x:v>
      </x:c>
      <x:c r="C54" s="87" t="str">
        <x:v>入口与空状态</x:v>
      </x:c>
      <x:c r="D54" s="87" t="str">
        <x:v>P2</x:v>
      </x:c>
      <x:c r="E54" s="87" t="str">
        <x:v>视觉</x:v>
      </x:c>
      <x:c r="F54" s="87" t="str">
        <x:v>错题/收藏可能为空</x:v>
      </x:c>
      <x:c r="G54" s="87" t="str">
        <x:v>分别进入错题集和收藏夹</x:v>
      </x:c>
      <x:c r="H54" s="87" t="str">
        <x:v>有数据可刷题；无数据展示明确空状态</x:v>
      </x:c>
      <x:c r="I54" s="87" t="str">
        <x:v>待执行</x:v>
      </x:c>
      <x:c r="J54" s="87" t="str">
        <x:v>未执行</x:v>
      </x:c>
      <x:c r="K54" s="87" t="str">
        <x:v>本轮未执行，保留为后续人工/真机回归用例。</x:v>
      </x:c>
      <x:c r="L54" s="87" t="str"/>
    </x:row>
    <x:row r="55" ht="56" customHeight="1">
      <x:c r="A55" s="87" t="str">
        <x:v>SEARCH-001</x:v>
      </x:c>
      <x:c r="B55" s="87" t="str">
        <x:v>题目搜索</x:v>
      </x:c>
      <x:c r="C55" s="87" t="str">
        <x:v>服务搜索</x:v>
      </x:c>
      <x:c r="D55" s="87" t="str">
        <x:v>P1</x:v>
      </x:c>
      <x:c r="E55" s="87" t="str">
        <x:v>功能</x:v>
      </x:c>
      <x:c r="F55" s="87" t="str">
        <x:v>题库已发布</x:v>
      </x:c>
      <x:c r="G55" s="87" t="str">
        <x:v>使用题干关键词调用搜索</x:v>
      </x:c>
      <x:c r="H55" s="87" t="str">
        <x:v>返回匹配总数，搜索列表不泄露答案与选项</x:v>
      </x:c>
      <x:c r="I55" s="87" t="str">
        <x:v>自动化：questionBank/test.js（28 个断言）</x:v>
      </x:c>
      <x:c r="J55" s="87" t="str">
        <x:v>已通过</x:v>
      </x:c>
      <x:c r="K55" s="87" t="str">
        <x:v>search total&gt;0，列表 answer/options 为 undefined。</x:v>
      </x:c>
      <x:c r="L55" s="87" t="str"/>
    </x:row>
    <x:row r="56" ht="56" customHeight="1">
      <x:c r="A56" s="87" t="str">
        <x:v>SEARCH-002</x:v>
      </x:c>
      <x:c r="B56" s="87" t="str">
        <x:v>题目搜索</x:v>
      </x:c>
      <x:c r="C56" s="87" t="str">
        <x:v>页面搜索</x:v>
      </x:c>
      <x:c r="D56" s="87" t="str">
        <x:v>P1</x:v>
      </x:c>
      <x:c r="E56" s="87" t="str">
        <x:v>交互</x:v>
      </x:c>
      <x:c r="F56" s="87" t="str">
        <x:v>进入搜索页</x:v>
      </x:c>
      <x:c r="G56" s="87" t="str">
        <x:v>输入关键词、清空、点击结果和热门知识点</x:v>
      </x:c>
      <x:c r="H56" s="87" t="str">
        <x:v>结果实时筛选；点击后进入对应题目</x:v>
      </x:c>
      <x:c r="I56" s="87" t="str">
        <x:v>待执行</x:v>
      </x:c>
      <x:c r="J56" s="87" t="str">
        <x:v>未执行</x:v>
      </x:c>
      <x:c r="K56" s="87" t="str">
        <x:v>本轮未执行，保留为后续人工/真机回归用例。</x:v>
      </x:c>
      <x:c r="L56" s="87" t="str"/>
    </x:row>
    <x:row r="57" ht="56" customHeight="1">
      <x:c r="A57" s="87" t="str">
        <x:v>BANK-001</x:v>
      </x:c>
      <x:c r="B57" s="87" t="str">
        <x:v>题库服务</x:v>
      </x:c>
      <x:c r="C57" s="87" t="str">
        <x:v>目录与分页</x:v>
      </x:c>
      <x:c r="D57" s="87" t="str">
        <x:v>P0</x:v>
      </x:c>
      <x:c r="E57" s="87" t="str">
        <x:v>接口</x:v>
      </x:c>
      <x:c r="F57" s="87" t="str">
        <x:v>题库云函数可运行</x:v>
      </x:c>
      <x:c r="G57" s="87" t="str">
        <x:v>请求目录、第一页和第二页</x:v>
      </x:c>
      <x:c r="H57" s="87" t="str">
        <x:v>总数/游标/排序正确，分页无重复</x:v>
      </x:c>
      <x:c r="I57" s="87" t="str">
        <x:v>自动化：questionBank/test.js（28 个断言）</x:v>
      </x:c>
      <x:c r="J57" s="87" t="str">
        <x:v>已通过</x:v>
      </x:c>
      <x:c r="K57" s="87" t="str">
        <x:v>822 题；每页 7 题；两页共 14 个唯一 ID。</x:v>
      </x:c>
      <x:c r="L57" s="87" t="str"/>
    </x:row>
    <x:row r="58" ht="56" customHeight="1">
      <x:c r="A58" s="87" t="str">
        <x:v>BANK-002</x:v>
      </x:c>
      <x:c r="B58" s="87" t="str">
        <x:v>题库服务</x:v>
      </x:c>
      <x:c r="C58" s="87" t="str">
        <x:v>章节分页聚合</x:v>
      </x:c>
      <x:c r="D58" s="87" t="str">
        <x:v>P1</x:v>
      </x:c>
      <x:c r="E58" s="87" t="str">
        <x:v>接口</x:v>
      </x:c>
      <x:c r="F58" s="87" t="str">
        <x:v>章节含多页数据</x:v>
      </x:c>
      <x:c r="G58" s="87" t="str">
        <x:v>获取完整章节</x:v>
      </x:c>
      <x:c r="H58" s="87" t="str">
        <x:v>自动翻页聚合，结果完整并写入持久缓存</x:v>
      </x:c>
      <x:c r="I58" s="87" t="str">
        <x:v>自动化：scripts/test-question-bank-service.js（32 个断言）</x:v>
      </x:c>
      <x:c r="J58" s="87" t="str">
        <x:v>已通过</x:v>
      </x:c>
      <x:c r="K58" s="87" t="str">
        <x:v>3 题跨 2 页聚合；缓存恢复不再调用云端。</x:v>
      </x:c>
      <x:c r="L58" s="87" t="str"/>
    </x:row>
    <x:row r="59" ht="56" customHeight="1">
      <x:c r="A59" s="87" t="str">
        <x:v>BANK-003</x:v>
      </x:c>
      <x:c r="B59" s="87" t="str">
        <x:v>题库服务</x:v>
      </x:c>
      <x:c r="C59" s="87" t="str">
        <x:v>版本缓存失效</x:v>
      </x:c>
      <x:c r="D59" s="87" t="str">
        <x:v>P1</x:v>
      </x:c>
      <x:c r="E59" s="87" t="str">
        <x:v>缓存</x:v>
      </x:c>
      <x:c r="F59" s="87" t="str">
        <x:v>已有旧题库版本缓存</x:v>
      </x:c>
      <x:c r="G59" s="87" t="str">
        <x:v>目录版本变化后重新加载章节</x:v>
      </x:c>
      <x:c r="H59" s="87" t="str">
        <x:v>旧版本缓存被清理，新版本重新下载</x:v>
      </x:c>
      <x:c r="I59" s="87" t="str">
        <x:v>自动化：scripts/test-question-bank-service.js（32 个断言）</x:v>
      </x:c>
      <x:c r="J59" s="87" t="str">
        <x:v>已通过</x:v>
      </x:c>
      <x:c r="K59" s="87" t="str">
        <x:v>版本切换至 2026-09-01，旧条目清理断言通过。</x:v>
      </x:c>
      <x:c r="L59" s="87" t="str"/>
    </x:row>
    <x:row r="60" ht="56" customHeight="1">
      <x:c r="A60" s="87" t="str">
        <x:v>BANK-004</x:v>
      </x:c>
      <x:c r="B60" s="87" t="str">
        <x:v>题库服务</x:v>
      </x:c>
      <x:c r="C60" s="87" t="str">
        <x:v>按 ID 获取</x:v>
      </x:c>
      <x:c r="D60" s="87" t="str">
        <x:v>P1</x:v>
      </x:c>
      <x:c r="E60" s="87" t="str">
        <x:v>接口</x:v>
      </x:c>
      <x:c r="F60" s="87" t="str">
        <x:v>提供存在和不存在的题目 ID</x:v>
      </x:c>
      <x:c r="G60" s="87" t="str">
        <x:v>调用 getQuestionsByIds</x:v>
      </x:c>
      <x:c r="H60" s="87" t="str">
        <x:v>保持请求顺序，返回 missingQuestionIds</x:v>
      </x:c>
      <x:c r="I60" s="87" t="str">
        <x:v>自动化：scripts/test-question-bank-service.js（32 个断言）</x:v>
      </x:c>
      <x:c r="J60" s="87" t="str">
        <x:v>已通过</x:v>
      </x:c>
      <x:c r="K60" s="87" t="str">
        <x:v>返回 ipf-3、ipf-1；缺失 ipf-missing。</x:v>
      </x:c>
      <x:c r="L60" s="87" t="str"/>
    </x:row>
    <x:row r="61" ht="56" customHeight="1">
      <x:c r="A61" s="87" t="str">
        <x:v>BANK-005</x:v>
      </x:c>
      <x:c r="B61" s="87" t="str">
        <x:v>题库服务</x:v>
      </x:c>
      <x:c r="C61" s="87" t="str">
        <x:v>智能练习排序</x:v>
      </x:c>
      <x:c r="D61" s="87" t="str">
        <x:v>P1</x:v>
      </x:c>
      <x:c r="E61" s="87" t="str">
        <x:v>算法</x:v>
      </x:c>
      <x:c r="F61" s="87" t="str">
        <x:v>存在新题、错题和已掌握题</x:v>
      </x:c>
      <x:c r="G61" s="87" t="str">
        <x:v>请求智能练习 10 题</x:v>
      </x:c>
      <x:c r="H61" s="87" t="str">
        <x:v>优先新题，其次错题，再补充已掌握题</x:v>
      </x:c>
      <x:c r="I61" s="87" t="str">
        <x:v>自动化：questionBank/test.js（28 个断言）</x:v>
      </x:c>
      <x:c r="J61" s="87" t="str">
        <x:v>已通过</x:v>
      </x:c>
      <x:c r="K61" s="87" t="str">
        <x:v>状态计数 fresh=2、wrong=5、mastered=815，排序断言通过。</x:v>
      </x:c>
      <x:c r="L61" s="87" t="str"/>
    </x:row>
    <x:row r="62" ht="56" customHeight="1">
      <x:c r="A62" s="87" t="str">
        <x:v>BANK-006</x:v>
      </x:c>
      <x:c r="B62" s="87" t="str">
        <x:v>题库服务</x:v>
      </x:c>
      <x:c r="C62" s="87" t="str">
        <x:v>答案校验</x:v>
      </x:c>
      <x:c r="D62" s="87" t="str">
        <x:v>P0</x:v>
      </x:c>
      <x:c r="E62" s="87" t="str">
        <x:v>接口</x:v>
      </x:c>
      <x:c r="F62" s="87" t="str">
        <x:v>题目答案已配置</x:v>
      </x:c>
      <x:c r="G62" s="87" t="str">
        <x:v>分别提交正确和错误答案</x:v>
      </x:c>
      <x:c r="H62" s="87" t="str">
        <x:v>返回正确布尔值，客户端不依赖搜索列表答案</x:v>
      </x:c>
      <x:c r="I62" s="87" t="str">
        <x:v>自动化：questionBank/test.js（28 个断言）</x:v>
      </x:c>
      <x:c r="J62" s="87" t="str">
        <x:v>已通过</x:v>
      </x:c>
      <x:c r="K62" s="87" t="str">
        <x:v>正确/错误两种结果断言通过。</x:v>
      </x:c>
      <x:c r="L62" s="87" t="str"/>
    </x:row>
    <x:row r="63" ht="56" customHeight="1">
      <x:c r="A63" s="87" t="str">
        <x:v>USER-001</x:v>
      </x:c>
      <x:c r="B63" s="87" t="str">
        <x:v>用户服务</x:v>
      </x:c>
      <x:c r="C63" s="87" t="str">
        <x:v>微信登录复用</x:v>
      </x:c>
      <x:c r="D63" s="87" t="str">
        <x:v>P0</x:v>
      </x:c>
      <x:c r="E63" s="87" t="str">
        <x:v>认证</x:v>
      </x:c>
      <x:c r="F63" s="87" t="str">
        <x:v>微信登录环境可用</x:v>
      </x:c>
      <x:c r="G63" s="87" t="str">
        <x:v>连续请求用户服务</x:v>
      </x:c>
      <x:c r="H63" s="87" t="str">
        <x:v>只发起一次微信登录和一次云端登录，复用会话</x:v>
      </x:c>
      <x:c r="I63" s="87" t="str">
        <x:v>自动化：scripts/test-user-practice-service.js（57 个断言）</x:v>
      </x:c>
      <x:c r="J63" s="87" t="str">
        <x:v>已通过</x:v>
      </x:c>
      <x:c r="K63" s="87" t="str">
        <x:v>uniLoginCalls=1、cloudLoginCalls=1。</x:v>
      </x:c>
      <x:c r="L63" s="87" t="str"/>
    </x:row>
    <x:row r="64" ht="56" customHeight="1">
      <x:c r="A64" s="87" t="str">
        <x:v>USER-002</x:v>
      </x:c>
      <x:c r="B64" s="87" t="str">
        <x:v>用户服务</x:v>
      </x:c>
      <x:c r="C64" s="87" t="str">
        <x:v>令牌过期重试</x:v>
      </x:c>
      <x:c r="D64" s="87" t="str">
        <x:v>P0</x:v>
      </x:c>
      <x:c r="E64" s="87" t="str">
        <x:v>认证</x:v>
      </x:c>
      <x:c r="F64" s="87" t="str">
        <x:v>本地存在过期令牌</x:v>
      </x:c>
      <x:c r="G64" s="87" t="str">
        <x:v>请求用户资料</x:v>
      </x:c>
      <x:c r="H64" s="87" t="str">
        <x:v>清理失效令牌，重新登录并重试成功</x:v>
      </x:c>
      <x:c r="I64" s="87" t="str">
        <x:v>自动化：scripts/test-user-practice-service.js（57 个断言）</x:v>
      </x:c>
      <x:c r="J64" s="87" t="str">
        <x:v>已通过</x:v>
      </x:c>
      <x:c r="K64" s="87" t="str">
        <x:v>移除 uni_id_token，二次云调用成功。</x:v>
      </x:c>
      <x:c r="L64" s="87" t="str"/>
    </x:row>
    <x:row r="65" ht="56" customHeight="1">
      <x:c r="A65" s="87" t="str">
        <x:v>USER-003</x:v>
      </x:c>
      <x:c r="B65" s="87" t="str">
        <x:v>用户服务</x:v>
      </x:c>
      <x:c r="C65" s="87" t="str">
        <x:v>偏好离线重试</x:v>
      </x:c>
      <x:c r="D65" s="87" t="str">
        <x:v>P1</x:v>
      </x:c>
      <x:c r="E65" s="87" t="str">
        <x:v>离线</x:v>
      </x:c>
      <x:c r="F65" s="87" t="str">
        <x:v>首次云端更新失败</x:v>
      </x:c>
      <x:c r="G65" s="87" t="str">
        <x:v>修改答题模式/夜间模式后恢复网络</x:v>
      </x:c>
      <x:c r="H65" s="87" t="str">
        <x:v>本地立即生效并标记待同步，重试后云端一致</x:v>
      </x:c>
      <x:c r="I65" s="87" t="str">
        <x:v>自动化：scripts/test-user-practice-service.js（57 个断言）</x:v>
      </x:c>
      <x:c r="J65" s="87" t="str">
        <x:v>已通过</x:v>
      </x:c>
      <x:c r="K65" s="87" t="str">
        <x:v>exam/night 偏好先 _syncPending，重试后清除。</x:v>
      </x:c>
      <x:c r="L65" s="87" t="str"/>
    </x:row>
    <x:row r="66" ht="56" customHeight="1">
      <x:c r="A66" s="87" t="str">
        <x:v>USER-004</x:v>
      </x:c>
      <x:c r="B66" s="87" t="str">
        <x:v>用户服务</x:v>
      </x:c>
      <x:c r="C66" s="87" t="str">
        <x:v>事件队列</x:v>
      </x:c>
      <x:c r="D66" s="87" t="str">
        <x:v>P0</x:v>
      </x:c>
      <x:c r="E66" s="87" t="str">
        <x:v>同步</x:v>
      </x:c>
      <x:c r="F66" s="87" t="str">
        <x:v>本地累积多个练习事件</x:v>
      </x:c>
      <x:c r="G66" s="87" t="str">
        <x:v>分批 flushPracticeEvents</x:v>
      </x:c>
      <x:c r="H66" s="87" t="str">
        <x:v>事件按批次同步，成功后队列清空，进度独立上报</x:v>
      </x:c>
      <x:c r="I66" s="87" t="str">
        <x:v>自动化：scripts/test-user-practice-service.js（57 个断言）</x:v>
      </x:c>
      <x:c r="J66" s="87" t="str">
        <x:v>已通过</x:v>
      </x:c>
      <x:c r="K66" s="87" t="str">
        <x:v>队列 3→1→0；两批事件和独立 progress 调用正确。</x:v>
      </x:c>
      <x:c r="L66" s="87" t="str"/>
    </x:row>
    <x:row r="67" ht="56" customHeight="1">
      <x:c r="A67" s="87" t="str">
        <x:v>USER-005</x:v>
      </x:c>
      <x:c r="B67" s="87" t="str">
        <x:v>用户服务</x:v>
      </x:c>
      <x:c r="C67" s="87" t="str">
        <x:v>多范围进度</x:v>
      </x:c>
      <x:c r="D67" s="87" t="str">
        <x:v>P1</x:v>
      </x:c>
      <x:c r="E67" s="87" t="str">
        <x:v>同步</x:v>
      </x:c>
      <x:c r="F67" s="87" t="str">
        <x:v>同时保存多个章节/知识点进度</x:v>
      </x:c>
      <x:c r="G67" s="87" t="str">
        <x:v>触发进度同步</x:v>
      </x:c>
      <x:c r="H67" s="87" t="str">
        <x:v>不同范围分别保存，不相互覆盖</x:v>
      </x:c>
      <x:c r="I67" s="87" t="str">
        <x:v>自动化：scripts/test-user-practice-service.js（57 个断言）</x:v>
      </x:c>
      <x:c r="J67" s="87" t="str">
        <x:v>已通过</x:v>
      </x:c>
      <x:c r="K67" s="87" t="str">
        <x:v>两条章节进度与知识点进度断言通过。</x:v>
      </x:c>
      <x:c r="L67" s="87" t="str"/>
    </x:row>
    <x:row r="68" ht="56" customHeight="1">
      <x:c r="A68" s="87" t="str">
        <x:v>USER-006</x:v>
      </x:c>
      <x:c r="B68" s="87" t="str">
        <x:v>用户云函数</x:v>
      </x:c>
      <x:c r="C68" s="87" t="str">
        <x:v>事件幂等</x:v>
      </x:c>
      <x:c r="D68" s="87" t="str">
        <x:v>P0</x:v>
      </x:c>
      <x:c r="E68" s="87" t="str">
        <x:v>接口</x:v>
      </x:c>
      <x:c r="F68" s="87" t="str">
        <x:v>准备相同 eventId 的重复事件</x:v>
      </x:c>
      <x:c r="G68" s="87" t="str">
        <x:v>连续提交两次</x:v>
      </x:c>
      <x:c r="H68" s="87" t="str">
        <x:v>首次接受，第二次识别重复，不重复统计</x:v>
      </x:c>
      <x:c r="I68" s="87" t="str">
        <x:v>自动化：questionBankUser/test.js（33 个断言）</x:v>
      </x:c>
      <x:c r="J68" s="87" t="str">
        <x:v>已通过</x:v>
      </x:c>
      <x:c r="K68" s="87" t="str">
        <x:v>acceptedEventIds 与 duplicateEventIds 断言通过。</x:v>
      </x:c>
      <x:c r="L68" s="87" t="str"/>
    </x:row>
    <x:row r="69" ht="56" customHeight="1">
      <x:c r="A69" s="87" t="str">
        <x:v>USER-007</x:v>
      </x:c>
      <x:c r="B69" s="87" t="str">
        <x:v>用户云函数</x:v>
      </x:c>
      <x:c r="C69" s="87" t="str">
        <x:v>进度作用域</x:v>
      </x:c>
      <x:c r="D69" s="87" t="str">
        <x:v>P1</x:v>
      </x:c>
      <x:c r="E69" s="87" t="str">
        <x:v>接口</x:v>
      </x:c>
      <x:c r="F69" s="87" t="str">
        <x:v>准备章节和知识点进度</x:v>
      </x:c>
      <x:c r="G69" s="87" t="str">
        <x:v>依次保存并读取快照</x:v>
      </x:c>
      <x:c r="H69" s="87" t="str">
        <x:v>每个 scope 仅保留最新位置，两个 scope 并存</x:v>
      </x:c>
      <x:c r="I69" s="87" t="str">
        <x:v>自动化：questionBankUser/test.js（33 个断言）</x:v>
      </x:c>
      <x:c r="J69" s="87" t="str">
        <x:v>已通过</x:v>
      </x:c>
      <x:c r="K69" s="87" t="str">
        <x:v>章节和知识点 progressPositions 均正确。</x:v>
      </x:c>
      <x:c r="L69" s="87" t="str"/>
    </x:row>
    <x:row r="70" ht="56" customHeight="1">
      <x:c r="A70" s="87" t="str">
        <x:v>QUAL-001</x:v>
      </x:c>
      <x:c r="B70" s="87" t="str">
        <x:v>质量检查</x:v>
      </x:c>
      <x:c r="C70" s="87" t="str">
        <x:v>配置语法</x:v>
      </x:c>
      <x:c r="D70" s="87" t="str">
        <x:v>P0</x:v>
      </x:c>
      <x:c r="E70" s="87" t="str">
        <x:v>静态</x:v>
      </x:c>
      <x:c r="F70" s="87" t="str">
        <x:v>pages.json 与 manifest.json 存在</x:v>
      </x:c>
      <x:c r="G70" s="87" t="str">
        <x:v>按 JSON / JSONC 语法解析配置</x:v>
      </x:c>
      <x:c r="H70" s="87" t="str">
        <x:v>配置可解析，无语法错误</x:v>
      </x:c>
      <x:c r="I70" s="87" t="str">
        <x:v>静态检查</x:v>
      </x:c>
      <x:c r="J70" s="87" t="str">
        <x:v>已通过</x:v>
      </x:c>
      <x:c r="K70" s="87" t="str">
        <x:v>pages.json 与 manifest.json(JSONC) parse passed。</x:v>
      </x:c>
      <x:c r="L70" s="87" t="str"/>
    </x:row>
    <x:row r="71" ht="56" customHeight="1">
      <x:c r="A71" s="87" t="str">
        <x:v>QUAL-002</x:v>
      </x:c>
      <x:c r="B71" s="87" t="str">
        <x:v>质量检查</x:v>
      </x:c>
      <x:c r="C71" s="87" t="str">
        <x:v>差异完整性</x:v>
      </x:c>
      <x:c r="D71" s="87" t="str">
        <x:v>P1</x:v>
      </x:c>
      <x:c r="E71" s="87" t="str">
        <x:v>静态</x:v>
      </x:c>
      <x:c r="F71" s="87" t="str">
        <x:v>当前工作树可读</x:v>
      </x:c>
      <x:c r="G71" s="87" t="str">
        <x:v>执行 git diff --check</x:v>
      </x:c>
      <x:c r="H71" s="87" t="str">
        <x:v>无空白错误或冲突标记</x:v>
      </x:c>
      <x:c r="I71" s="87" t="str">
        <x:v>静态检查</x:v>
      </x:c>
      <x:c r="J71" s="87" t="str">
        <x:v>已通过</x:v>
      </x:c>
      <x:c r="K71" s="87" t="str">
        <x:v>exit=0，无输出。</x:v>
      </x:c>
      <x:c r="L71" s="87" t="str"/>
    </x:row>
    <x:row r="72" ht="56" customHeight="1">
      <x:c r="A72" s="87" t="str">
        <x:v>QUAL-003</x:v>
      </x:c>
      <x:c r="B72" s="87" t="str">
        <x:v>质量检查</x:v>
      </x:c>
      <x:c r="C72" s="87" t="str">
        <x:v>运行时控制台</x:v>
      </x:c>
      <x:c r="D72" s="87" t="str">
        <x:v>P1</x:v>
      </x:c>
      <x:c r="E72" s="87" t="str">
        <x:v>冒烟</x:v>
      </x:c>
      <x:c r="F72" s="87" t="str">
        <x:v>微信开发者工具已加载刷题和章节页</x:v>
      </x:c>
      <x:c r="G72" s="87" t="str">
        <x:v>检查 Console 的 Error 与 Warning</x:v>
      </x:c>
      <x:c r="H72" s="87" t="str">
        <x:v>无 Error；告警有明确归类和跟踪</x:v>
      </x:c>
      <x:c r="I72" s="87" t="str">
        <x:v>人工冒烟</x:v>
      </x:c>
      <x:c r="J72" s="87" t="str">
        <x:v>已通过</x:v>
      </x:c>
      <x:c r="K72" s="87" t="str">
        <x:v>未发现 Error；发现 3 类低优先级告警并记录。</x:v>
      </x:c>
      <x:c r="L72" s="87" t="str">
        <x:v>ISSUE-001; ISSUE-002; ISSUE-003</x:v>
      </x:c>
    </x:row>
    <x:row r="73" ht="56" customHeight="1">
      <x:c r="A73" s="87" t="str">
        <x:v>PERF-001</x:v>
      </x:c>
      <x:c r="B73" s="87" t="str">
        <x:v>性能</x:v>
      </x:c>
      <x:c r="C73" s="87" t="str">
        <x:v>滑动流畅度</x:v>
      </x:c>
      <x:c r="D73" s="87" t="str">
        <x:v>P1</x:v>
      </x:c>
      <x:c r="E73" s="87" t="str">
        <x:v>性能</x:v>
      </x:c>
      <x:c r="F73" s="87" t="str">
        <x:v>真机加载 50+ 题章节</x:v>
      </x:c>
      <x:c r="G73" s="87" t="str">
        <x:v>连续左右滑动 30 次并观察帧率/闪屏</x:v>
      </x:c>
      <x:c r="H73" s="87" t="str">
        <x:v>无明显掉帧、空白页或相邻题闪现</x:v>
      </x:c>
      <x:c r="I73" s="87" t="str">
        <x:v>待执行</x:v>
      </x:c>
      <x:c r="J73" s="87" t="str">
        <x:v>未执行</x:v>
      </x:c>
      <x:c r="K73" s="87" t="str">
        <x:v>本轮未执行，保留为后续人工/真机回归用例。</x:v>
      </x:c>
      <x:c r="L73" s="87" t="str"/>
    </x:row>
    <x:row r="74" ht="56" customHeight="1">
      <x:c r="A74" s="87" t="str">
        <x:v>OFF-001</x:v>
      </x:c>
      <x:c r="B74" s="87" t="str">
        <x:v>离线能力</x:v>
      </x:c>
      <x:c r="C74" s="87" t="str">
        <x:v>断网练习</x:v>
      </x:c>
      <x:c r="D74" s="87" t="str">
        <x:v>P1</x:v>
      </x:c>
      <x:c r="E74" s="87" t="str">
        <x:v>离线</x:v>
      </x:c>
      <x:c r="F74" s="87" t="str">
        <x:v>章节数据已缓存</x:v>
      </x:c>
      <x:c r="G74" s="87" t="str">
        <x:v>断网后进入章节、做题并恢复网络</x:v>
      </x:c>
      <x:c r="H74" s="87" t="str">
        <x:v>缓存题目可用；事件暂存并在联网后同步</x:v>
      </x:c>
      <x:c r="I74" s="87" t="str">
        <x:v>待执行</x:v>
      </x:c>
      <x:c r="J74" s="87" t="str">
        <x:v>未执行</x:v>
      </x:c>
      <x:c r="K74" s="87" t="str">
        <x:v>本轮未执行，保留为后续人工/真机回归用例。</x:v>
      </x:c>
      <x:c r="L74" s="87" t="str"/>
    </x:row>
    <x:row r="75" ht="56" customHeight="1">
      <x:c r="A75" s="87" t="str">
        <x:v>COMP-001</x:v>
      </x:c>
      <x:c r="B75" s="87" t="str">
        <x:v>兼容性</x:v>
      </x:c>
      <x:c r="C75" s="87" t="str">
        <x:v>真机与尺寸</x:v>
      </x:c>
      <x:c r="D75" s="87" t="str">
        <x:v>P1</x:v>
      </x:c>
      <x:c r="E75" s="87" t="str">
        <x:v>兼容性</x:v>
      </x:c>
      <x:c r="F75" s="87" t="str">
        <x:v>准备 iOS/Android 微信真机</x:v>
      </x:c>
      <x:c r="G75" s="87" t="str">
        <x:v>在不同屏幕尺寸和系统上检查核心流程</x:v>
      </x:c>
      <x:c r="H75" s="87" t="str">
        <x:v>安全区、弹窗、按钮、广告和滚动均正常</x:v>
      </x:c>
      <x:c r="I75" s="87" t="str">
        <x:v>待执行</x:v>
      </x:c>
      <x:c r="J75" s="87" t="str">
        <x:v>未执行</x:v>
      </x:c>
      <x:c r="K75" s="87" t="str">
        <x:v>本轮未执行，保留为后续人工/真机回归用例。</x:v>
      </x:c>
      <x:c r="L75" s="87" t="str"/>
    </x:row>
    <x:row r="76" ht="56" customHeight="1">
      <x:c r="A76" s="88" t="str">
        <x:v>A11Y-001</x:v>
      </x:c>
      <x:c r="B76" s="88" t="str">
        <x:v>可用性</x:v>
      </x:c>
      <x:c r="C76" s="88" t="str">
        <x:v>可读性与触控</x:v>
      </x:c>
      <x:c r="D76" s="88" t="str">
        <x:v>P2</x:v>
      </x:c>
      <x:c r="E76" s="88" t="str">
        <x:v>可用性</x:v>
      </x:c>
      <x:c r="F76" s="88" t="str">
        <x:v>浅色/夜间模式均可用</x:v>
      </x:c>
      <x:c r="G76" s="88" t="str">
        <x:v>检查字号、对比度、长文本换行及点击热区</x:v>
      </x:c>
      <x:c r="H76" s="88" t="str">
        <x:v>内容可读，无截断；主要控件易点击</x:v>
      </x:c>
      <x:c r="I76" s="88" t="str">
        <x:v>待执行</x:v>
      </x:c>
      <x:c r="J76" s="88" t="str">
        <x:v>未执行</x:v>
      </x:c>
      <x:c r="K76" s="88" t="str">
        <x:v>本轮未执行，保留为后续人工/真机回归用例。</x:v>
      </x:c>
      <x:c r="L76" s="88" t="str"/>
    </x:row>
  </x:sheetData>
  <x:mergeCells>
    <x:mergeCell ref="A1:L1"/>
    <x:mergeCell ref="A2:L2"/>
  </x:mergeCells>
  <x:conditionalFormatting sqref="J5:J76">
    <x:cfRule type="containsText" dxfId="0" priority="1" operator="containsText" text="已通过"/>
    <x:cfRule type="containsText" dxfId="1" priority="2" operator="containsText" text="失败"/>
    <x:cfRule type="containsText" dxfId="2" priority="3" operator="containsText" text="未执行"/>
    <x:cfRule type="containsText" dxfId="3" priority="4" operator="containsText" text="阻塞"/>
  </x:conditionalFormatting>
  <x:dataValidations count="3">
    <x:dataValidation type="list" sqref="D5:D76">
      <x:formula1>"P0,P1,P2,P3"</x:formula1>
    </x:dataValidation>
    <x:dataValidation type="list" sqref="E5:E76">
      <x:formula1>"功能,交互,视觉,冒烟,数据,接口,静态,性能,兼容性,异常,离线,认证,同步,真机,可用性,集成,算法,缓存"</x:formula1>
    </x:dataValidation>
    <x:dataValidation type="list" sqref="J5:J76">
      <x:formula1>"已通过,失败,未执行,阻塞"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1ebffca57c49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0" hidden="0" customWidth="1"/>
    <x:col min="5" max="5" width="11" hidden="0" customWidth="1"/>
    <x:col min="6" max="6" width="13" hidden="0" customWidth="1"/>
    <x:col min="7" max="7" width="48" hidden="0" customWidth="1"/>
    <x:col min="8" max="8" width="54" hidden="0" customWidth="1"/>
  </x:cols>
  <x:sheetData>
    <x:row r="1" ht="38" customHeight="1">
      <x:c r="A1" s="4" t="str">
        <x:v>测试执行记录</x:v>
      </x:c>
      <x:c r="B1" s="4"/>
      <x:c r="C1" s="4"/>
      <x:c r="D1" s="4"/>
      <x:c r="E1" s="4"/>
      <x:c r="F1" s="4"/>
      <x:c r="G1" s="4"/>
      <x:c r="H1" s="4"/>
    </x:row>
    <x:row r="2" ht="28" customHeight="1">
      <x:c r="A2" s="7" t="str">
        <x:v>记录本轮实际执行的命令、环境、结果和证据</x:v>
      </x:c>
      <x:c r="B2" s="7"/>
      <x:c r="C2" s="7"/>
      <x:c r="D2" s="7"/>
      <x:c r="E2" s="7"/>
      <x:c r="F2" s="7"/>
      <x:c r="G2" s="7"/>
      <x:c r="H2" s="7"/>
    </x:row>
    <x:row r="4" ht="32" customHeight="1">
      <x:c r="A4" s="78" t="str">
        <x:v>执行ID</x:v>
      </x:c>
      <x:c r="B4" s="78" t="str">
        <x:v>方式</x:v>
      </x:c>
      <x:c r="C4" s="78" t="str">
        <x:v>测试对象</x:v>
      </x:c>
      <x:c r="D4" s="78" t="str">
        <x:v>执行时间</x:v>
      </x:c>
      <x:c r="E4" s="78" t="str">
        <x:v>结果</x:v>
      </x:c>
      <x:c r="F4" s="78" t="str">
        <x:v>耗时（秒）</x:v>
      </x:c>
      <x:c r="G4" s="78" t="str">
        <x:v>命令 / 环境</x:v>
      </x:c>
      <x:c r="H4" s="78" t="str">
        <x:v>结果证据与备注</x:v>
      </x:c>
    </x:row>
    <x:row r="5" ht="44" customHeight="1">
      <x:c r="A5" s="86" t="str">
        <x:v>RUN-001</x:v>
      </x:c>
      <x:c r="B5" s="86" t="str">
        <x:v>自动化</x:v>
      </x:c>
      <x:c r="C5" s="86" t="str">
        <x:v>答题模式与 UI 逻辑</x:v>
      </x:c>
      <x:c r="D5" s="89" t="n">
        <x:v>46265.376388888886</x:v>
      </x:c>
      <x:c r="E5" s="86" t="str">
        <x:v>已通过</x:v>
      </x:c>
      <x:c r="F5" s="92" t="n">
        <x:v>0.2</x:v>
      </x:c>
      <x:c r="G5" s="86" t="str">
        <x:v>node scripts/test-practice-answer-modes.js</x:v>
      </x:c>
      <x:c r="H5" s="86" t="str">
        <x:v>112 个断言；输出 practice answer mode tests passed</x:v>
      </x:c>
    </x:row>
    <x:row r="6" ht="44" customHeight="1">
      <x:c r="A6" s="87" t="str">
        <x:v>RUN-002</x:v>
      </x:c>
      <x:c r="B6" s="87" t="str">
        <x:v>自动化</x:v>
      </x:c>
      <x:c r="C6" s="87" t="str">
        <x:v>用户练习服务</x:v>
      </x:c>
      <x:c r="D6" s="90" t="n">
        <x:v>46265.376388888886</x:v>
      </x:c>
      <x:c r="E6" s="87" t="str">
        <x:v>已通过</x:v>
      </x:c>
      <x:c r="F6" s="93" t="n">
        <x:v>0.3</x:v>
      </x:c>
      <x:c r="G6" s="87" t="str">
        <x:v>node scripts/test-user-practice-service.js</x:v>
      </x:c>
      <x:c r="H6" s="87" t="str">
        <x:v>57 个断言；输出 user-practice service tests passed</x:v>
      </x:c>
    </x:row>
    <x:row r="7" ht="44" customHeight="1">
      <x:c r="A7" s="87" t="str">
        <x:v>RUN-003</x:v>
      </x:c>
      <x:c r="B7" s="87" t="str">
        <x:v>自动化</x:v>
      </x:c>
      <x:c r="C7" s="87" t="str">
        <x:v>题库客户端服务</x:v>
      </x:c>
      <x:c r="D7" s="90" t="n">
        <x:v>46265.376388888886</x:v>
      </x:c>
      <x:c r="E7" s="87" t="str">
        <x:v>已通过</x:v>
      </x:c>
      <x:c r="F7" s="93" t="n">
        <x:v>0.1</x:v>
      </x:c>
      <x:c r="G7" s="87" t="str">
        <x:v>node scripts/test-question-bank-service.js</x:v>
      </x:c>
      <x:c r="H7" s="87" t="str">
        <x:v>32 个断言；输出 question-bank service tests passed</x:v>
      </x:c>
    </x:row>
    <x:row r="8" ht="44" customHeight="1">
      <x:c r="A8" s="87" t="str">
        <x:v>RUN-004</x:v>
      </x:c>
      <x:c r="B8" s="87" t="str">
        <x:v>自动化</x:v>
      </x:c>
      <x:c r="C8" s="87" t="str">
        <x:v>用户题库云函数</x:v>
      </x:c>
      <x:c r="D8" s="90" t="n">
        <x:v>46265.376388888886</x:v>
      </x:c>
      <x:c r="E8" s="87" t="str">
        <x:v>已通过</x:v>
      </x:c>
      <x:c r="F8" s="93" t="n">
        <x:v>0.1</x:v>
      </x:c>
      <x:c r="G8" s="87" t="str">
        <x:v>node uniCloud-alipay/cloudfunctions/questionBankUser/test.js</x:v>
      </x:c>
      <x:c r="H8" s="87" t="str">
        <x:v>33 个断言；输出 questionBankUser tests passed</x:v>
      </x:c>
    </x:row>
    <x:row r="9" ht="44" customHeight="1">
      <x:c r="A9" s="87" t="str">
        <x:v>RUN-005</x:v>
      </x:c>
      <x:c r="B9" s="87" t="str">
        <x:v>自动化</x:v>
      </x:c>
      <x:c r="C9" s="87" t="str">
        <x:v>题库云函数</x:v>
      </x:c>
      <x:c r="D9" s="90" t="n">
        <x:v>46265.376388888886</x:v>
      </x:c>
      <x:c r="E9" s="87" t="str">
        <x:v>已通过</x:v>
      </x:c>
      <x:c r="F9" s="93" t="n">
        <x:v>0.1</x:v>
      </x:c>
      <x:c r="G9" s="87" t="str">
        <x:v>node uniCloud-alipay/cloudfunctions/questionBank/test.js</x:v>
      </x:c>
      <x:c r="H9" s="87" t="str">
        <x:v>28 个断言；输出 questionBank tests passed</x:v>
      </x:c>
    </x:row>
    <x:row r="10" ht="44" customHeight="1">
      <x:c r="A10" s="87" t="str">
        <x:v>RUN-006</x:v>
      </x:c>
      <x:c r="B10" s="87" t="str">
        <x:v>静态检查</x:v>
      </x:c>
      <x:c r="C10" s="87" t="str">
        <x:v>Git 差异完整性</x:v>
      </x:c>
      <x:c r="D10" s="90" t="n">
        <x:v>46265.37708333333</x:v>
      </x:c>
      <x:c r="E10" s="87" t="str">
        <x:v>已通过</x:v>
      </x:c>
      <x:c r="F10" s="93" t="n">
        <x:v>0.1</x:v>
      </x:c>
      <x:c r="G10" s="87" t="str">
        <x:v>git diff --check</x:v>
      </x:c>
      <x:c r="H10" s="87" t="str">
        <x:v>exit=0；无空白错误或冲突标记</x:v>
      </x:c>
    </x:row>
    <x:row r="11" ht="44" customHeight="1">
      <x:c r="A11" s="87" t="str">
        <x:v>RUN-007</x:v>
      </x:c>
      <x:c r="B11" s="87" t="str">
        <x:v>静态检查</x:v>
      </x:c>
      <x:c r="C11" s="87" t="str">
        <x:v>项目配置解析</x:v>
      </x:c>
      <x:c r="D11" s="90" t="n">
        <x:v>46265.37708333333</x:v>
      </x:c>
      <x:c r="E11" s="87" t="str">
        <x:v>已通过</x:v>
      </x:c>
      <x:c r="F11" s="93" t="n">
        <x:v>0.1</x:v>
      </x:c>
      <x:c r="G11" s="87" t="str">
        <x:v>pages.json=JSON；manifest.json=JSONC</x:v>
      </x:c>
      <x:c r="H11" s="87" t="str">
        <x:v>严格 JSON 首次不适用于带注释 manifest；按 JSONC 重测通过，非产品缺陷</x:v>
      </x:c>
    </x:row>
    <x:row r="12" ht="44" customHeight="1">
      <x:c r="A12" s="87" t="str">
        <x:v>RUN-008</x:v>
      </x:c>
      <x:c r="B12" s="87" t="str">
        <x:v>人工冒烟</x:v>
      </x:c>
      <x:c r="C12" s="87" t="str">
        <x:v>应用与刷题首页</x:v>
      </x:c>
      <x:c r="D12" s="90" t="n">
        <x:v>46265.37777777778</x:v>
      </x:c>
      <x:c r="E12" s="87" t="str">
        <x:v>已通过</x:v>
      </x:c>
      <x:c r="F12" s="93" t="n">
        <x:v>1</x:v>
      </x:c>
      <x:c r="G12" s="87" t="str">
        <x:v>微信开发者工具 Stable 2.01.2510290</x:v>
      </x:c>
      <x:c r="H12" s="87" t="str">
        <x:v>工具页与刷题页加载；822 总题数和核心入口可见</x:v>
      </x:c>
    </x:row>
    <x:row r="13" ht="44" customHeight="1">
      <x:c r="A13" s="87" t="str">
        <x:v>RUN-009</x:v>
      </x:c>
      <x:c r="B13" s="87" t="str">
        <x:v>人工冒烟</x:v>
      </x:c>
      <x:c r="C13" s="87" t="str">
        <x:v>章节目录</x:v>
      </x:c>
      <x:c r="D13" s="90" t="n">
        <x:v>46265.37847222222</x:v>
      </x:c>
      <x:c r="E13" s="87" t="str">
        <x:v>已通过</x:v>
      </x:c>
      <x:c r="F13" s="93" t="n">
        <x:v>1</x:v>
      </x:c>
      <x:c r="G13" s="87" t="str">
        <x:v>微信开发者工具章节页</x:v>
      </x:c>
      <x:c r="H13" s="87" t="str">
        <x:v>8 个章节正常显示，章节题量/进度可见</x:v>
      </x:c>
    </x:row>
    <x:row r="14" ht="44" customHeight="1">
      <x:c r="A14" s="88" t="str">
        <x:v>RUN-010</x:v>
      </x:c>
      <x:c r="B14" s="88" t="str">
        <x:v>人工冒烟</x:v>
      </x:c>
      <x:c r="C14" s="88" t="str">
        <x:v>运行时控制台</x:v>
      </x:c>
      <x:c r="D14" s="91" t="n">
        <x:v>46265.379166666666</x:v>
      </x:c>
      <x:c r="E14" s="88" t="str">
        <x:v>已通过</x:v>
      </x:c>
      <x:c r="F14" s="94" t="n">
        <x:v>1</x:v>
      </x:c>
      <x:c r="G14" s="88" t="str">
        <x:v>微信开发者工具 Console</x:v>
      </x:c>
      <x:c r="H14" s="88" t="str">
        <x:v>无 Error；3 类低优先级告警已登记 ISSUE-001~003</x:v>
      </x:c>
    </x:row>
  </x:sheetData>
  <x:mergeCells>
    <x:mergeCell ref="A1:H1"/>
    <x:mergeCell ref="A2:H2"/>
  </x:mergeCells>
  <x:conditionalFormatting sqref="E5:E14">
    <x:cfRule type="containsText" dxfId="4" priority="1" operator="containsText" text="已通过"/>
    <x:cfRule type="containsText" dxfId="5" priority="2" operator="containsText" text="失败"/>
    <x:cfRule type="containsText" dxfId="6" priority="3" operator="containsText" text="未执行"/>
    <x:cfRule type="containsText" dxfId="7" priority="4" operator="containsText" text="阻塞"/>
  </x:conditionalFormatting>
  <x:pageMargins left="0.7" right="0.7" top="0.75" bottom="0.75" header="0.3" footer="0.3"/>
  <x:tableParts count="1">
    <x:tablePart xmlns:r="http://schemas.openxmlformats.org/officeDocument/2006/relationships" r:id="R3206d9f0ae5b48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9" hidden="0" customWidth="1"/>
    <x:col min="5" max="5" width="34" hidden="0" customWidth="1"/>
    <x:col min="6" max="6" width="38" hidden="0" customWidth="1"/>
    <x:col min="7" max="7" width="34" hidden="0" customWidth="1"/>
    <x:col min="8" max="8" width="44" hidden="0" customWidth="1"/>
    <x:col min="9" max="9" width="48" hidden="0" customWidth="1"/>
    <x:col min="10" max="10" width="40" hidden="0" customWidth="1"/>
    <x:col min="11" max="11" width="12" hidden="0" customWidth="1"/>
    <x:col min="12" max="12" width="42" hidden="0" customWidth="1"/>
  </x:cols>
  <x:sheetData>
    <x:row r="1" ht="38" customHeight="1">
      <x:c r="A1" s="4" t="str">
        <x:v>问题清单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7" t="str">
        <x:v>仅记录，不修改代码；本轮未发现功能失败，以下均为运行时低优先级告警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78" t="str">
        <x:v>问题ID</x:v>
      </x:c>
      <x:c r="B4" s="78" t="str">
        <x:v>模块</x:v>
      </x:c>
      <x:c r="C4" s="78" t="str">
        <x:v>类型</x:v>
      </x:c>
      <x:c r="D4" s="78" t="str">
        <x:v>优先级</x:v>
      </x:c>
      <x:c r="E4" s="78" t="str">
        <x:v>标题</x:v>
      </x:c>
      <x:c r="F4" s="78" t="str">
        <x:v>复现步骤</x:v>
      </x:c>
      <x:c r="G4" s="78" t="str">
        <x:v>预期结果</x:v>
      </x:c>
      <x:c r="H4" s="78" t="str">
        <x:v>实际结果</x:v>
      </x:c>
      <x:c r="I4" s="78" t="str">
        <x:v>证据</x:v>
      </x:c>
      <x:c r="J4" s="78" t="str">
        <x:v>影响评估</x:v>
      </x:c>
      <x:c r="K4" s="78" t="str">
        <x:v>状态</x:v>
      </x:c>
      <x:c r="L4" s="78" t="str">
        <x:v>建议</x:v>
      </x:c>
    </x:row>
    <x:row r="5" ht="72" customHeight="1">
      <x:c r="A5" s="86" t="str">
        <x:v>ISSUE-001</x:v>
      </x:c>
      <x:c r="B5" s="86" t="str">
        <x:v>运行时 / 依赖</x:v>
      </x:c>
      <x:c r="C5" s="86" t="str">
        <x:v>兼容性告警</x:v>
      </x:c>
      <x:c r="D5" s="86" t="str">
        <x:v>P3</x:v>
      </x:c>
      <x:c r="E5" s="86" t="str">
        <x:v>使用已废弃的 wx.getSystemInfo / wx.getSystemInfoSync API</x:v>
      </x:c>
      <x:c r="F5" s="86" t="str">
        <x:v>1. 启动小程序
2. 打开微信开发者工具 Console</x:v>
      </x:c>
      <x:c r="G5" s="86" t="str">
        <x:v>控制台不出现废弃 API 告警</x:v>
      </x:c>
      <x:c r="H5" s="86" t="str">
        <x:v>uni-stat-public.es.js 与编译后的 index.js 多次输出废弃 API 告警</x:v>
      </x:c>
      <x:c r="I5" s="86" t="str">
        <x:v>Console：wx.getSystemInfo(Sync) is deprecated</x:v>
      </x:c>
      <x:c r="J5" s="86" t="str">
        <x:v>当前功能可用；未来基础库升级可能产生兼容风险</x:v>
      </x:c>
      <x:c r="K5" s="86" t="str">
        <x:v>待处理</x:v>
      </x:c>
      <x:c r="L5" s="86" t="str">
        <x:v>确认调用来源；升级对应 uni-app/uni-stat 依赖或迁移至新 API。</x:v>
      </x:c>
    </x:row>
    <x:row r="6" ht="72" customHeight="1">
      <x:c r="A6" s="87" t="str">
        <x:v>ISSUE-002</x:v>
      </x:c>
      <x:c r="B6" s="87" t="str">
        <x:v>uni-load-more</x:v>
      </x:c>
      <x:c r="C6" s="87" t="str">
        <x:v>WXSS 告警</x:v>
      </x:c>
      <x:c r="D6" s="87" t="str">
        <x:v>P3</x:v>
      </x:c>
      <x:c r="E6" s="87" t="str">
        <x:v>组件样式包含微信小程序不允许的选择器</x:v>
      </x:c>
      <x:c r="F6" s="87" t="str">
        <x:v>1. 进入章节练习
2. 查看 Console</x:v>
      </x:c>
      <x:c r="G6" s="87" t="str">
        <x:v>组件 WXSS 无非法选择器告警</x:v>
      </x:c>
      <x:c r="H6" s="87" t="str">
        <x:v>提示 uni-load-more.wxss:58:29 含 tag/ID/attribute selector</x:v>
      </x:c>
      <x:c r="I6" s="87" t="str">
        <x:v>Console：[practice-pages/chapter/chapter] Some selectors are not allowed in component wxss</x:v>
      </x:c>
      <x:c r="J6" s="87" t="str">
        <x:v>可能导致部分加载组件样式规则不生效；本轮未观察到功能中断</x:v>
      </x:c>
      <x:c r="K6" s="87" t="str">
        <x:v>待处理</x:v>
      </x:c>
      <x:c r="L6" s="87" t="str">
        <x:v>升级 uni-load-more 或检查对应选择器在当前基础库的兼容性。</x:v>
      </x:c>
    </x:row>
    <x:row r="7" ht="72" customHeight="1">
      <x:c r="A7" s="88" t="str">
        <x:v>ISSUE-003</x:v>
      </x:c>
      <x:c r="B7" s="88" t="str">
        <x:v>App.vue / 组件结构</x:v>
      </x:c>
      <x:c r="C7" s="88" t="str">
        <x:v>构建告警</x:v>
      </x:c>
      <x:c r="D7" s="88" t="str">
        <x:v>P3</x:v>
      </x:c>
      <x:c r="E7" s="88" t="str">
        <x:v>启动时提示组件仅支持 uni_modules 目录结构</x:v>
      </x:c>
      <x:c r="F7" s="88" t="str">
        <x:v>1. 启动小程序
2. 查看 Console</x:v>
      </x:c>
      <x:c r="G7" s="88" t="str">
        <x:v>启动过程无组件结构兼容告警</x:v>
      </x:c>
      <x:c r="H7" s="88" t="str">
        <x:v>App.vue:10 输出“当前组件仅支持 uni_modules 目录结构，请升级 HBuilderX...”</x:v>
      </x:c>
      <x:c r="I7" s="88" t="str">
        <x:v>微信开发者工具 Console App Launch 阶段</x:v>
      </x:c>
      <x:c r="J7" s="88" t="str">
        <x:v>当前页面可运行；可能存在组件路径或工具链版本兼容隐患</x:v>
      </x:c>
      <x:c r="K7" s="88" t="str">
        <x:v>待确认</x:v>
      </x:c>
      <x:c r="L7" s="88" t="str">
        <x:v>核对 App.vue 第 10 行所用组件来源与当前 HBuilderX/uni_modules 结构。</x:v>
      </x:c>
    </x:row>
  </x:sheetData>
  <x:mergeCells>
    <x:mergeCell ref="A1:L1"/>
    <x:mergeCell ref="A2:L2"/>
  </x:mergeCells>
  <x:conditionalFormatting sqref="D5:D7">
    <x:cfRule type="containsText" dxfId="8" priority="1" operator="containsText" text="P3"/>
  </x:conditionalFormatting>
  <x:conditionalFormatting sqref="K5:K7">
    <x:cfRule type="containsText" dxfId="9" priority="2" operator="containsText" text="待"/>
  </x:conditionalFormatting>
  <x:dataValidations count="2">
    <x:dataValidation type="list" sqref="D5:D7">
      <x:formula1>"P0,P1,P2,P3"</x:formula1>
    </x:dataValidation>
    <x:dataValidation type="list" sqref="K5:K7">
      <x:formula1>"待确认,待处理,处理中,已解决,不处理"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4f43e3d07647da"/>
  </x:tableParts>
</x:worksheet>
</file>